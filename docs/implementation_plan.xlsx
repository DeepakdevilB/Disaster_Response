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oadmap" sheetId="2" state="visible" r:id="rId4"/>
    <sheet name="Task Plan" sheetId="3" state="visible" r:id="rId5"/>
    <sheet name="Tech Stack" sheetId="4" state="visible" r:id="rId6"/>
    <sheet name="Architecture" sheetId="5" state="visible" r:id="rId7"/>
    <sheet name="Database" sheetId="6" state="visible" r:id="rId8"/>
    <sheet name="API Design" sheetId="7" state="visible" r:id="rId9"/>
    <sheet name="AI-ML Plan" sheetId="8" state="visible" r:id="rId10"/>
    <sheet name="Priority Model" sheetId="9" state="visible" r:id="rId11"/>
    <sheet name="Testing" sheetId="10" state="visible" r:id="rId12"/>
    <sheet name="Risks" sheetId="11" state="visible" r:id="rId13"/>
    <sheet name="Viva Prep" sheetId="12" state="visible" r:id="rId14"/>
  </sheets>
  <definedNames>
    <definedName function="false" hidden="true" localSheetId="7" name="_xlnm._FilterDatabase" vbProcedure="false">'AI-ML Plan'!$A$4:$I$10</definedName>
    <definedName function="false" hidden="true" localSheetId="6" name="_xlnm._FilterDatabase" vbProcedure="false">'API Design'!$A$4:$E$30</definedName>
    <definedName function="false" hidden="true" localSheetId="4" name="_xlnm._FilterDatabase" vbProcedure="false">Architecture!$A$4:$G$16</definedName>
    <definedName function="false" hidden="true" localSheetId="5" name="_xlnm._FilterDatabase" vbProcedure="false">Database!$A$4:$E$63</definedName>
    <definedName function="false" hidden="true" localSheetId="10" name="_xlnm._FilterDatabase" vbProcedure="false">Risks!$A$4:$H$16</definedName>
    <definedName function="false" hidden="true" localSheetId="2" name="_xlnm._FilterDatabase" vbProcedure="false">'Task Plan'!$A$4:$Q$79</definedName>
    <definedName function="false" hidden="true" localSheetId="3" name="_xlnm._FilterDatabase" vbProcedure="false">'Tech Stack'!$A$4:$F$30</definedName>
    <definedName function="false" hidden="true" localSheetId="9" name="_xlnm._FilterDatabase" vbProcedure="false">Testing!$A$4:$F$19</definedName>
    <definedName function="false" hidden="true" localSheetId="11" name="_xlnm._FilterDatabase" vbProcedure="false">'Viva Prep'!$A$4:$C$19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<sst xmlns="http://schemas.openxmlformats.org/spreadsheetml/2006/main" count="1886" uniqueCount="1236">
  <si>
    <t xml:space="preserve">Intelligent Disaster Response &amp; Emergency Coordination Platform</t>
  </si>
  <si>
    <t xml:space="preserve">Final-year B.Tech major project | Implementation plan workbook | Yellow cells are inputs you can edit</t>
  </si>
  <si>
    <t xml:space="preserve">1. PROJECT INFORMATION</t>
  </si>
  <si>
    <t xml:space="preserve">Project title</t>
  </si>
  <si>
    <t xml:space="preserve">AI-Driven, Event-Driven Disaster Response &amp; Emergency Coordination Platform</t>
  </si>
  <si>
    <t xml:space="preserve">Core idea</t>
  </si>
  <si>
    <t xml:space="preserve">Collects citizen/team reports, classifies and prioritizes them with NLP/ML, detects duplicates, geocodes locations, and recommends resource allocation on a live command-center dashboard.</t>
  </si>
  <si>
    <t xml:space="preserve">Approach</t>
  </si>
  <si>
    <t xml:space="preserve">MVP-first, phased delivery (Agile, 1-week iterations). Each phase ends in a demo so a working project always exists.</t>
  </si>
  <si>
    <t xml:space="preserve">2. PLANNING INPUTS (edit the yellow cells)</t>
  </si>
  <si>
    <t xml:space="preserve">Project start date</t>
  </si>
  <si>
    <t xml:space="preserve">Assumption: Monday 19-Oct-2026. Change to your real start; all dates update.</t>
  </si>
  <si>
    <t xml:space="preserve">Team size (people)</t>
  </si>
  <si>
    <t xml:space="preserve">Assumption: 4 members. Edit to match your team.</t>
  </si>
  <si>
    <t xml:space="preserve">Hours per person per week</t>
  </si>
  <si>
    <t xml:space="preserve">Assumption: 15 h/week alongside classes. Edit to match reality.</t>
  </si>
  <si>
    <t xml:space="preserve">3. LIVE PROJECT DASHBOARD (all formulas)</t>
  </si>
  <si>
    <t xml:space="preserve">Total tasks</t>
  </si>
  <si>
    <t xml:space="preserve">Rows in Task Plan</t>
  </si>
  <si>
    <t xml:space="preserve">Tasks completed</t>
  </si>
  <si>
    <t xml:space="preserve">Status = Done</t>
  </si>
  <si>
    <t xml:space="preserve">Tasks blocked</t>
  </si>
  <si>
    <t xml:space="preserve">Needs attention</t>
  </si>
  <si>
    <t xml:space="preserve">Overall progress (effort-weighted)</t>
  </si>
  <si>
    <t xml:space="preserve">Hours x % done / total hours</t>
  </si>
  <si>
    <t xml:space="preserve">Planned end date</t>
  </si>
  <si>
    <t xml:space="preserve">Latest task end date</t>
  </si>
  <si>
    <t xml:space="preserve">Planned duration (weeks)</t>
  </si>
  <si>
    <t xml:space="preserve">From start date to planned end</t>
  </si>
  <si>
    <t xml:space="preserve">Days to planned end</t>
  </si>
  <si>
    <t xml:space="preserve">Recalculates daily</t>
  </si>
  <si>
    <t xml:space="preserve">Total estimated effort (hours)</t>
  </si>
  <si>
    <t xml:space="preserve">Sum of task estimates</t>
  </si>
  <si>
    <t xml:space="preserve">Team capacity (hours)</t>
  </si>
  <si>
    <t xml:space="preserve">Team size x hours/week x weeks</t>
  </si>
  <si>
    <t xml:space="preserve">Capacity utilization</t>
  </si>
  <si>
    <t xml:space="preserve">Above 100% = over-committed</t>
  </si>
  <si>
    <t xml:space="preserve">Must-have effort (hours)</t>
  </si>
  <si>
    <t xml:space="preserve">Minimum viable scope</t>
  </si>
  <si>
    <t xml:space="preserve">Must-have utilization</t>
  </si>
  <si>
    <t xml:space="preserve">If total is over 100%, cut 'Could' then 'Should' tasks</t>
  </si>
  <si>
    <t xml:space="preserve">Scope health</t>
  </si>
  <si>
    <t xml:space="preserve">Auto assessment</t>
  </si>
  <si>
    <t xml:space="preserve">4. HOW TO USE THIS WORKBOOK</t>
  </si>
  <si>
    <t xml:space="preserve">Roadmap</t>
  </si>
  <si>
    <t xml:space="preserve">Seven phases with goals, deliverables, exit criteria; dates and progress roll up from Task Plan.</t>
  </si>
  <si>
    <t xml:space="preserve">Task Plan</t>
  </si>
  <si>
    <t xml:space="preserve">Master backlog with MoSCoW priority, effort, dependencies and an auto-drawn weekly Gantt. Update Status, % Done and Assignee.</t>
  </si>
  <si>
    <t xml:space="preserve">Tech Stack</t>
  </si>
  <si>
    <t xml:space="preserve">Free / open-source component choices with rationale and alternatives (INR 0 budget).</t>
  </si>
  <si>
    <t xml:space="preserve">Architecture</t>
  </si>
  <si>
    <t xml:space="preserve">Service responsibilities and key design decisions to defend in viva.</t>
  </si>
  <si>
    <t xml:space="preserve">Database</t>
  </si>
  <si>
    <t xml:space="preserve">Table and column design including PostGIS and pgvector columns, plus indexes.</t>
  </si>
  <si>
    <t xml:space="preserve">API Design</t>
  </si>
  <si>
    <t xml:space="preserve">REST/WebSocket endpoints with role access, per phase.</t>
  </si>
  <si>
    <t xml:space="preserve">AI-ML Plan</t>
  </si>
  <si>
    <t xml:space="preserve">Models, datasets, metrics and targets; also the LLM usage policy.</t>
  </si>
  <si>
    <t xml:space="preserve">Priority Model</t>
  </si>
  <si>
    <t xml:space="preserve">Editable weights and a live calculator for the incident priority score.</t>
  </si>
  <si>
    <t xml:space="preserve">Testing</t>
  </si>
  <si>
    <t xml:space="preserve">Test strategy with tools and pass criteria.</t>
  </si>
  <si>
    <t xml:space="preserve">Risks</t>
  </si>
  <si>
    <t xml:space="preserve">Risk register with scoring and mitigation.</t>
  </si>
  <si>
    <t xml:space="preserve">Viva Prep</t>
  </si>
  <si>
    <t xml:space="preserve">Likely examiner questions with answer outlines.</t>
  </si>
  <si>
    <t xml:space="preserve">Colour legend</t>
  </si>
  <si>
    <t xml:space="preserve">Blue text / yellow fill = editable input. Black = formula or fixed content. Estimates are planning assumptions for a small student team, not measured values.</t>
  </si>
  <si>
    <t xml:space="preserve">Roadmap &amp; Phase Summary</t>
  </si>
  <si>
    <t xml:space="preserve">Dates, hours and progress are formulas driven by the Task Plan sheet</t>
  </si>
  <si>
    <t xml:space="preserve">Phase</t>
  </si>
  <si>
    <t xml:space="preserve">Phase Name</t>
  </si>
  <si>
    <t xml:space="preserve">Goal</t>
  </si>
  <si>
    <t xml:space="preserve">Key Deliverables</t>
  </si>
  <si>
    <t xml:space="preserve">Exit Criteria / Milestone</t>
  </si>
  <si>
    <t xml:space="preserve">Start</t>
  </si>
  <si>
    <t xml:space="preserve">End</t>
  </si>
  <si>
    <t xml:space="preserve">Weeks</t>
  </si>
  <si>
    <t xml:space="preserve">Tasks</t>
  </si>
  <si>
    <t xml:space="preserve">Est. Hours</t>
  </si>
  <si>
    <t xml:space="preserve">Progress</t>
  </si>
  <si>
    <t xml:space="preserve">Status</t>
  </si>
  <si>
    <t xml:space="preserve">P0</t>
  </si>
  <si>
    <t xml:space="preserve">Planning &amp; Approval</t>
  </si>
  <si>
    <t xml:space="preserve">Get topic approved, freeze scope, finish SRS + HLD, set up tooling and data plan.</t>
  </si>
  <si>
    <t xml:space="preserve">Approved proposal, SRS, HLD diagrams, ADRs, repo + CI skeleton, dataset plan</t>
  </si>
  <si>
    <t xml:space="preserve">Guide signs off scope; Docker skeleton boots; SRS v1 reviewed</t>
  </si>
  <si>
    <t xml:space="preserve">P1</t>
  </si>
  <si>
    <t xml:space="preserve">MVP Core Platform</t>
  </si>
  <si>
    <t xml:space="preserve">Working end-to-end product without AI: auth, RBAC, reporting, resources, dashboard, map.</t>
  </si>
  <si>
    <t xml:space="preserve">Auth + RBAC, Incident API, Citizen portal, Authority dashboard v1, Resource CRUD, CI tests</t>
  </si>
  <si>
    <t xml:space="preserve">Citizen files report -&gt; Authority sees it on map -&gt; status updated (demo M1)</t>
  </si>
  <si>
    <t xml:space="preserve">P2</t>
  </si>
  <si>
    <t xml:space="preserve">AI Layer (NLP + LLM)</t>
  </si>
  <si>
    <t xml:space="preserve">Classification, severity, entity extraction, queue-based AI worker, LLM summaries.</t>
  </si>
  <si>
    <t xml:space="preserve">Labeled dataset, category + severity models, extractor, AI worker, model evaluation report</t>
  </si>
  <si>
    <t xml:space="preserve">Reports auto-classified asynchronously with confidence; F1 report ready (demo M2)</t>
  </si>
  <si>
    <t xml:space="preserve">P3</t>
  </si>
  <si>
    <t xml:space="preserve">Intelligent Engine</t>
  </si>
  <si>
    <t xml:space="preserve">Duplicate detection, geocoding, priority scoring, resource allocation, assignment workflow.</t>
  </si>
  <si>
    <t xml:space="preserve">Embedding + dedup service, geocoder, priority engine, allocation optimizer, rescue-team view</t>
  </si>
  <si>
    <t xml:space="preserve">Duplicates merged; ranked feed; allocation recommendations approved &amp; executed (demo M3)</t>
  </si>
  <si>
    <t xml:space="preserve">P4</t>
  </si>
  <si>
    <t xml:space="preserve">Advanced Features</t>
  </si>
  <si>
    <t xml:space="preserve">Real-time command center, image analysis, NL queries, situation summaries, analytics.</t>
  </si>
  <si>
    <t xml:space="preserve">WebSocket updates, command center, CV model, NL query, analytics, broadcast alerts</t>
  </si>
  <si>
    <t xml:space="preserve">Live dashboard updates; image signal fused into severity; feature freeze (M4)</t>
  </si>
  <si>
    <t xml:space="preserve">P5</t>
  </si>
  <si>
    <t xml:space="preserve">Production Hardening</t>
  </si>
  <si>
    <t xml:space="preserve">Containerize, secure, monitor, load-test, tune and deploy.</t>
  </si>
  <si>
    <t xml:space="preserve">Docker Compose stack, Nginx, Redis limits, Prometheus/Grafana, load + security test reports, CI/CD</t>
  </si>
  <si>
    <t xml:space="preserve">Load-test report with RPS/P95; zero critical security findings; one-command deploy</t>
  </si>
  <si>
    <t xml:space="preserve">P6</t>
  </si>
  <si>
    <t xml:space="preserve">Documentation &amp; Viva</t>
  </si>
  <si>
    <t xml:space="preserve">Final report, ML report, slides, scripted demo, mock vivas, buffer.</t>
  </si>
  <si>
    <t xml:space="preserve">Final report, ML report, PPT, demo script + backup video, Q&amp;A sheet</t>
  </si>
  <si>
    <t xml:space="preserve">Two mock vivas done; demo runs offline from seeded data</t>
  </si>
  <si>
    <t xml:space="preserve">TOTAL</t>
  </si>
  <si>
    <t xml:space="preserve">Phases overlap by design (e.g. documentation starts while hardening). Version-1 principle: if time runs out after Phase 3, you still have a complete, demonstrable intelligent system.</t>
  </si>
  <si>
    <t xml:space="preserve">Master Task Plan &amp; Weekly Gantt</t>
  </si>
  <si>
    <t xml:space="preserve">Edit Assignee, Priority, Hours, Start Week, Weeks, Status, % Done (blue). Dates and Gantt update automatically. Priority: Must / Should / Could (MoSCoW)</t>
  </si>
  <si>
    <t xml:space="preserve">Total hrs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</si>
  <si>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</si>
  <si>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</si>
  <si>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</si>
  <si>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</si>
  <si>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</si>
  <si>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</si>
  <si>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</si>
  <si>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</si>
  <si>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</si>
  <si>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</si>
  <si>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</si>
  <si>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</si>
  <si>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</si>
  <si>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</si>
  <si>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</si>
  <si>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</si>
  <si>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ID</t>
  </si>
  <si>
    <t xml:space="preserve">Task</t>
  </si>
  <si>
    <t xml:space="preserve">Description</t>
  </si>
  <si>
    <t xml:space="preserve">Role</t>
  </si>
  <si>
    <t xml:space="preserve">Assignee</t>
  </si>
  <si>
    <t xml:space="preserve">Priority</t>
  </si>
  <si>
    <t xml:space="preserve">Start Week</t>
  </si>
  <si>
    <t xml:space="preserve">Start Date</t>
  </si>
  <si>
    <t xml:space="preserve">End Date</t>
  </si>
  <si>
    <t xml:space="preserve">Depends On</t>
  </si>
  <si>
    <t xml:space="preserve">% Done</t>
  </si>
  <si>
    <t xml:space="preserve">Deliverable</t>
  </si>
  <si>
    <t xml:space="preserve">T-001</t>
  </si>
  <si>
    <t xml:space="preserve">Finalize problem statement &amp; scope</t>
  </si>
  <si>
    <t xml:space="preserve">Write 1-page problem statement, in-scope / out-of-scope list, success metrics.</t>
  </si>
  <si>
    <t xml:space="preserve">Team</t>
  </si>
  <si>
    <t xml:space="preserve">Must</t>
  </si>
  <si>
    <t xml:space="preserve">Not Started</t>
  </si>
  <si>
    <t xml:space="preserve">Scope document</t>
  </si>
  <si>
    <t xml:space="preserve">T-002</t>
  </si>
  <si>
    <t xml:space="preserve">Prepare topic-approval proposal</t>
  </si>
  <si>
    <t xml:space="preserve">Abstract, architecture one-pager, novelty points and phase plan for the guide.</t>
  </si>
  <si>
    <t xml:space="preserve">Proposal PDF</t>
  </si>
  <si>
    <t xml:space="preserve">T-003</t>
  </si>
  <si>
    <t xml:space="preserve">Literature &amp; existing-system survey</t>
  </si>
  <si>
    <t xml:space="preserve">Study crisis informatics papers and tools such as Ushahidi and Sahana Eden; list gaps.</t>
  </si>
  <si>
    <t xml:space="preserve">Should</t>
  </si>
  <si>
    <t xml:space="preserve">Survey notes</t>
  </si>
  <si>
    <t xml:space="preserve">T-004</t>
  </si>
  <si>
    <t xml:space="preserve">Requirements &amp; SRS</t>
  </si>
  <si>
    <t xml:space="preserve">Functional + non-functional requirements, use cases, user stories with acceptance criteria.</t>
  </si>
  <si>
    <t xml:space="preserve">SRS v1</t>
  </si>
  <si>
    <t xml:space="preserve">T-005</t>
  </si>
  <si>
    <t xml:space="preserve">Roles, personas &amp; RBAC matrix</t>
  </si>
  <si>
    <t xml:space="preserve">Define Citizen, Authority, Rescue Team, Admin permissions per endpoint/screen.</t>
  </si>
  <si>
    <t xml:space="preserve">Backend</t>
  </si>
  <si>
    <t xml:space="preserve">RBAC matrix</t>
  </si>
  <si>
    <t xml:space="preserve">T-006</t>
  </si>
  <si>
    <t xml:space="preserve">High-Level Design (HLD)</t>
  </si>
  <si>
    <t xml:space="preserve">Context diagram, component diagram, data-flow, deployment diagram, sequence diagrams.</t>
  </si>
  <si>
    <t xml:space="preserve">Lead</t>
  </si>
  <si>
    <t xml:space="preserve">HLD document</t>
  </si>
  <si>
    <t xml:space="preserve">T-007</t>
  </si>
  <si>
    <t xml:space="preserve">Tech-stack finalization &amp; ADRs</t>
  </si>
  <si>
    <t xml:space="preserve">Record each major choice (FastAPI, RabbitMQ, pgvector...) as an Architecture Decision Record.</t>
  </si>
  <si>
    <t xml:space="preserve">ADR log</t>
  </si>
  <si>
    <t xml:space="preserve">T-008</t>
  </si>
  <si>
    <t xml:space="preserve">Repository &amp; workflow setup</t>
  </si>
  <si>
    <t xml:space="preserve">Monorepo layout, branching strategy, PR template, pre-commit, GitHub Projects board.</t>
  </si>
  <si>
    <t xml:space="preserve">DevOps</t>
  </si>
  <si>
    <t xml:space="preserve">Repo + board</t>
  </si>
  <si>
    <t xml:space="preserve">T-009</t>
  </si>
  <si>
    <t xml:space="preserve">Docker Compose skeleton</t>
  </si>
  <si>
    <t xml:space="preserve">Postgres+PostGIS+pgvector, Redis, RabbitMQ, MinIO containers with health checks.</t>
  </si>
  <si>
    <t xml:space="preserve">docker-compose.yml</t>
  </si>
  <si>
    <t xml:space="preserve">T-010</t>
  </si>
  <si>
    <t xml:space="preserve">Dataset survey &amp; collection plan</t>
  </si>
  <si>
    <t xml:space="preserve">Shortlist public crisis datasets (text + image); license check; synthetic-data plan.</t>
  </si>
  <si>
    <t xml:space="preserve">AI/ML</t>
  </si>
  <si>
    <t xml:space="preserve">Dataset plan</t>
  </si>
  <si>
    <t xml:space="preserve">T-011</t>
  </si>
  <si>
    <t xml:space="preserve">Low-Level Design</t>
  </si>
  <si>
    <t xml:space="preserve">ERD, OpenAPI contracts, module boundaries, error-handling and logging conventions.</t>
  </si>
  <si>
    <t xml:space="preserve">LLD + OpenAPI draft</t>
  </si>
  <si>
    <t xml:space="preserve">T-012</t>
  </si>
  <si>
    <t xml:space="preserve">Database migrations (Alembic)</t>
  </si>
  <si>
    <t xml:space="preserve">Core tables, PostGIS geometry columns, indexes, seed data scripts.</t>
  </si>
  <si>
    <t xml:space="preserve">Migration scripts</t>
  </si>
  <si>
    <t xml:space="preserve">T-013</t>
  </si>
  <si>
    <t xml:space="preserve">Authentication service</t>
  </si>
  <si>
    <t xml:space="preserve">Register/login, password hashing (argon2/bcrypt), JWT access + refresh tokens, logout.</t>
  </si>
  <si>
    <t xml:space="preserve">Auth module</t>
  </si>
  <si>
    <t xml:space="preserve">T-014</t>
  </si>
  <si>
    <t xml:space="preserve">RBAC middleware</t>
  </si>
  <si>
    <t xml:space="preserve">Role-based dependency guards for all routes; deny-by-default; tests per role.</t>
  </si>
  <si>
    <t xml:space="preserve">RBAC guards</t>
  </si>
  <si>
    <t xml:space="preserve">T-015</t>
  </si>
  <si>
    <t xml:space="preserve">Incident reporting API</t>
  </si>
  <si>
    <t xml:space="preserve">Create / list / get / update-status endpoints; pagination, filtering, validation.</t>
  </si>
  <si>
    <t xml:space="preserve">Incident API</t>
  </si>
  <si>
    <t xml:space="preserve">T-016</t>
  </si>
  <si>
    <t xml:space="preserve">Secure media upload</t>
  </si>
  <si>
    <t xml:space="preserve">MIME + size validation, random filenames, MinIO storage, signed URLs.</t>
  </si>
  <si>
    <t xml:space="preserve">Upload module</t>
  </si>
  <si>
    <t xml:space="preserve">T-017</t>
  </si>
  <si>
    <t xml:space="preserve">Frontend scaffold</t>
  </si>
  <si>
    <t xml:space="preserve">React + Vite + TypeScript, routing, auth flow, layout, UI kit.</t>
  </si>
  <si>
    <t xml:space="preserve">Frontend</t>
  </si>
  <si>
    <t xml:space="preserve">Frontend skeleton</t>
  </si>
  <si>
    <t xml:space="preserve">T-018</t>
  </si>
  <si>
    <t xml:space="preserve">Citizen portal</t>
  </si>
  <si>
    <t xml:space="preserve">Report form with browser geolocation, image upload, report tracking page.</t>
  </si>
  <si>
    <t xml:space="preserve">Citizen UI</t>
  </si>
  <si>
    <t xml:space="preserve">T-019</t>
  </si>
  <si>
    <t xml:space="preserve">Authority dashboard v1</t>
  </si>
  <si>
    <t xml:space="preserve">Incident table, filters, detail drawer, verify / status-change actions.</t>
  </si>
  <si>
    <t xml:space="preserve">Authority UI v1</t>
  </si>
  <si>
    <t xml:space="preserve">T-020</t>
  </si>
  <si>
    <t xml:space="preserve">Map view v1</t>
  </si>
  <si>
    <t xml:space="preserve">Leaflet + OpenStreetMap markers coloured by severity; click-through to incident.</t>
  </si>
  <si>
    <t xml:space="preserve">Map component</t>
  </si>
  <si>
    <t xml:space="preserve">T-021</t>
  </si>
  <si>
    <t xml:space="preserve">Resource &amp; rescue-team management</t>
  </si>
  <si>
    <t xml:space="preserve">CRUD for ambulances, boats, teams, kits; availability status; location.</t>
  </si>
  <si>
    <t xml:space="preserve">Full-stack</t>
  </si>
  <si>
    <t xml:space="preserve">Resource module</t>
  </si>
  <si>
    <t xml:space="preserve">T-022</t>
  </si>
  <si>
    <t xml:space="preserve">Audit logging &amp; input validation</t>
  </si>
  <si>
    <t xml:space="preserve">Append-only audit log for sensitive actions; strict Pydantic schemas.</t>
  </si>
  <si>
    <t xml:space="preserve">Audit log</t>
  </si>
  <si>
    <t xml:space="preserve">T-023</t>
  </si>
  <si>
    <t xml:space="preserve">MVP tests + CI pipeline</t>
  </si>
  <si>
    <t xml:space="preserve">pytest unit/API tests, lint, GitHub Actions on every PR.</t>
  </si>
  <si>
    <t xml:space="preserve">CI green</t>
  </si>
  <si>
    <t xml:space="preserve">T-024</t>
  </si>
  <si>
    <t xml:space="preserve">Milestone M1: MVP demo</t>
  </si>
  <si>
    <t xml:space="preserve">Demo to guide; collect feedback; update backlog.</t>
  </si>
  <si>
    <t xml:space="preserve">Demo + feedback notes</t>
  </si>
  <si>
    <t xml:space="preserve">T-025</t>
  </si>
  <si>
    <t xml:space="preserve">Build labeled dataset</t>
  </si>
  <si>
    <t xml:space="preserve">Map public crisis datasets to own taxonomy (medical, rescue, infrastructure, fire, flood, other) and severity.</t>
  </si>
  <si>
    <t xml:space="preserve">Labeled CSV + data card</t>
  </si>
  <si>
    <t xml:space="preserve">T-026</t>
  </si>
  <si>
    <t xml:space="preserve">Synthetic report generator</t>
  </si>
  <si>
    <t xml:space="preserve">Templates + local LLM to create English/Hinglish reports with known labels for gaps.</t>
  </si>
  <si>
    <t xml:space="preserve">Generator script</t>
  </si>
  <si>
    <t xml:space="preserve">T-027</t>
  </si>
  <si>
    <t xml:space="preserve">Text preprocessing pipeline</t>
  </si>
  <si>
    <t xml:space="preserve">Cleaning, emoji handling, Hinglish normalization, tokenization, train/val/test split.</t>
  </si>
  <si>
    <t xml:space="preserve">Preprocess module</t>
  </si>
  <si>
    <t xml:space="preserve">T-028</t>
  </si>
  <si>
    <t xml:space="preserve">Incident category classifier</t>
  </si>
  <si>
    <t xml:space="preserve">TF-IDF + Logistic Regression baseline, then fine-tuned DistilBERT / MiniLM; compare.</t>
  </si>
  <si>
    <t xml:space="preserve">Category model v1</t>
  </si>
  <si>
    <t xml:space="preserve">T-029</t>
  </si>
  <si>
    <t xml:space="preserve">Severity classifier</t>
  </si>
  <si>
    <t xml:space="preserve">Text + engineered features (people count, keywords, medical flag) -&gt; LOW/MEDIUM/HIGH/CRITICAL.</t>
  </si>
  <si>
    <t xml:space="preserve">Severity model v1</t>
  </si>
  <si>
    <t xml:space="preserve">T-030</t>
  </si>
  <si>
    <t xml:space="preserve">Entity extraction</t>
  </si>
  <si>
    <t xml:space="preserve">People count, location phrase, resource need via regex rules + NER fallback.</t>
  </si>
  <si>
    <t xml:space="preserve">Extractor module</t>
  </si>
  <si>
    <t xml:space="preserve">T-031</t>
  </si>
  <si>
    <t xml:space="preserve">Model evaluation</t>
  </si>
  <si>
    <t xml:space="preserve">Precision/recall/F1, confusion matrix, per-class error analysis, calibration check.</t>
  </si>
  <si>
    <t xml:space="preserve">T-028, T-029</t>
  </si>
  <si>
    <t xml:space="preserve">Evaluation report</t>
  </si>
  <si>
    <t xml:space="preserve">T-032</t>
  </si>
  <si>
    <t xml:space="preserve">Model serving &amp; versioning</t>
  </si>
  <si>
    <t xml:space="preserve">Model loader with versioned artifacts and MLflow (or file-based) registry.</t>
  </si>
  <si>
    <t xml:space="preserve">Model registry</t>
  </si>
  <si>
    <t xml:space="preserve">T-033</t>
  </si>
  <si>
    <t xml:space="preserve">Queue integration</t>
  </si>
  <si>
    <t xml:space="preserve">API -&gt; RabbitMQ -&gt; AI worker -&gt; DB; idempotent consumers, retries, dead-letter queue.</t>
  </si>
  <si>
    <t xml:space="preserve">T-015, T-030</t>
  </si>
  <si>
    <t xml:space="preserve">Async pipeline</t>
  </si>
  <si>
    <t xml:space="preserve">T-034</t>
  </si>
  <si>
    <t xml:space="preserve">LLM summarization (Ollama)</t>
  </si>
  <si>
    <t xml:space="preserve">Summarize clusters of reports with prompt guardrails and length limits; runs locally.</t>
  </si>
  <si>
    <t xml:space="preserve">Summary service</t>
  </si>
  <si>
    <t xml:space="preserve">T-035</t>
  </si>
  <si>
    <t xml:space="preserve">Store predictions + human override</t>
  </si>
  <si>
    <t xml:space="preserve">Save model, label, confidence in ai_predictions; authority can correct and log override.</t>
  </si>
  <si>
    <t xml:space="preserve">Override flow</t>
  </si>
  <si>
    <t xml:space="preserve">T-036</t>
  </si>
  <si>
    <t xml:space="preserve">Milestone M2: AI demo</t>
  </si>
  <si>
    <t xml:space="preserve">Show async classification with confidence on live submissions.</t>
  </si>
  <si>
    <t xml:space="preserve">T-031, T-035</t>
  </si>
  <si>
    <t xml:space="preserve">Demo + metrics</t>
  </si>
  <si>
    <t xml:space="preserve">T-037</t>
  </si>
  <si>
    <t xml:space="preserve">Embedding service + pgvector</t>
  </si>
  <si>
    <t xml:space="preserve">Multilingual MiniLM embeddings stored in pgvector; ANN index (HNSW/IVFFlat).</t>
  </si>
  <si>
    <t xml:space="preserve">Embedding service</t>
  </si>
  <si>
    <t xml:space="preserve">T-038</t>
  </si>
  <si>
    <t xml:space="preserve">Duplicate detection &amp; clustering</t>
  </si>
  <si>
    <t xml:space="preserve">Cosine similarity + geo-radius + time-window rules; merge into canonical incident.</t>
  </si>
  <si>
    <t xml:space="preserve">Dedup engine</t>
  </si>
  <si>
    <t xml:space="preserve">T-039</t>
  </si>
  <si>
    <t xml:space="preserve">Threshold tuning</t>
  </si>
  <si>
    <t xml:space="preserve">Tune similarity threshold on labeled duplicate pairs; report precision/recall trade-off.</t>
  </si>
  <si>
    <t xml:space="preserve">Tuning report</t>
  </si>
  <si>
    <t xml:space="preserve">T-040</t>
  </si>
  <si>
    <t xml:space="preserve">Geocoding pipeline</t>
  </si>
  <si>
    <t xml:space="preserve">Nominatim lookup with Redis cache, rate-limit compliance, local gazetteer fallback.</t>
  </si>
  <si>
    <t xml:space="preserve">Geocoder</t>
  </si>
  <si>
    <t xml:space="preserve">T-041</t>
  </si>
  <si>
    <t xml:space="preserve">Priority scoring engine</t>
  </si>
  <si>
    <t xml:space="preserve">Configurable weighted score (see Priority Model sheet); explainable breakdown per incident.</t>
  </si>
  <si>
    <t xml:space="preserve">T-029, T-038</t>
  </si>
  <si>
    <t xml:space="preserve">Priority engine</t>
  </si>
  <si>
    <t xml:space="preserve">T-042</t>
  </si>
  <si>
    <t xml:space="preserve">Ranked incident feed</t>
  </si>
  <si>
    <t xml:space="preserve">Redis sorted set for live priority queue; re-score on new reports and waiting time.</t>
  </si>
  <si>
    <t xml:space="preserve">Ranked feed</t>
  </si>
  <si>
    <t xml:space="preserve">T-043</t>
  </si>
  <si>
    <t xml:space="preserve">Resource allocation optimizer</t>
  </si>
  <si>
    <t xml:space="preserve">Min-cost assignment (Hungarian) using travel distance; capacity and type constraints.</t>
  </si>
  <si>
    <t xml:space="preserve">T-021, T-041</t>
  </si>
  <si>
    <t xml:space="preserve">Allocator</t>
  </si>
  <si>
    <t xml:space="preserve">T-044</t>
  </si>
  <si>
    <t xml:space="preserve">Assignment workflow</t>
  </si>
  <si>
    <t xml:space="preserve">Recommend -&gt; authority approves -&gt; team accepts -&gt; in-progress -&gt; completed.</t>
  </si>
  <si>
    <t xml:space="preserve">Workflow</t>
  </si>
  <si>
    <t xml:space="preserve">T-045</t>
  </si>
  <si>
    <t xml:space="preserve">Rescue-team mobile view (PWA)</t>
  </si>
  <si>
    <t xml:space="preserve">Mobile-friendly screens: assignments, navigation link, status updates, field notes.</t>
  </si>
  <si>
    <t xml:space="preserve">PWA</t>
  </si>
  <si>
    <t xml:space="preserve">T-046</t>
  </si>
  <si>
    <t xml:space="preserve">Scenario simulation harness</t>
  </si>
  <si>
    <t xml:space="preserve">Generate flood-event traffic with ground truth to test the whole pipeline.</t>
  </si>
  <si>
    <t xml:space="preserve">Simulator</t>
  </si>
  <si>
    <t xml:space="preserve">T-047</t>
  </si>
  <si>
    <t xml:space="preserve">Engine tests</t>
  </si>
  <si>
    <t xml:space="preserve">Unit + property-based tests for priority and allocation; regression on simulated scenarios.</t>
  </si>
  <si>
    <t xml:space="preserve">T-041, T-043</t>
  </si>
  <si>
    <t xml:space="preserve">Test suite</t>
  </si>
  <si>
    <t xml:space="preserve">T-048</t>
  </si>
  <si>
    <t xml:space="preserve">Milestone M3: Intelligence demo</t>
  </si>
  <si>
    <t xml:space="preserve">End-to-end: reports -&gt; dedup -&gt; priority -&gt; allocation.</t>
  </si>
  <si>
    <t xml:space="preserve">T-044, T-047</t>
  </si>
  <si>
    <t xml:space="preserve">Demo</t>
  </si>
  <si>
    <t xml:space="preserve">T-049</t>
  </si>
  <si>
    <t xml:space="preserve">Real-time updates</t>
  </si>
  <si>
    <t xml:space="preserve">WebSocket/SSE channel pushing new incidents, status and resource changes.</t>
  </si>
  <si>
    <t xml:space="preserve">Realtime gateway</t>
  </si>
  <si>
    <t xml:space="preserve">T-050</t>
  </si>
  <si>
    <t xml:space="preserve">Command-center dashboard</t>
  </si>
  <si>
    <t xml:space="preserve">KPIs, heatmap, clusters, resource panel, live feed, filters by zone.</t>
  </si>
  <si>
    <t xml:space="preserve">Command center</t>
  </si>
  <si>
    <t xml:space="preserve">T-051</t>
  </si>
  <si>
    <t xml:space="preserve">Image classification model</t>
  </si>
  <si>
    <t xml:space="preserve">Fine-tune MobileNetV3/EfficientNet-B0 on public flood/damage images.</t>
  </si>
  <si>
    <t xml:space="preserve">CV model</t>
  </si>
  <si>
    <t xml:space="preserve">T-052</t>
  </si>
  <si>
    <t xml:space="preserve">CV worker + signal fusion</t>
  </si>
  <si>
    <t xml:space="preserve">Run CV in worker; fuse flood/damage score into severity and priority.</t>
  </si>
  <si>
    <t xml:space="preserve">CV integration</t>
  </si>
  <si>
    <t xml:space="preserve">T-053</t>
  </si>
  <si>
    <t xml:space="preserve">Natural-language query</t>
  </si>
  <si>
    <t xml:space="preserve">Authority types a query; LLM outputs a validated JSON filter; no raw SQL generated.</t>
  </si>
  <si>
    <t xml:space="preserve">Could</t>
  </si>
  <si>
    <t xml:space="preserve">NL query</t>
  </si>
  <si>
    <t xml:space="preserve">T-054</t>
  </si>
  <si>
    <t xml:space="preserve">Situation summary</t>
  </si>
  <si>
    <t xml:space="preserve">On-demand 'what is happening now' summary grounded in current DB stats.</t>
  </si>
  <si>
    <t xml:space="preserve">Summary endpoint</t>
  </si>
  <si>
    <t xml:space="preserve">T-055</t>
  </si>
  <si>
    <t xml:space="preserve">Analytics module</t>
  </si>
  <si>
    <t xml:space="preserve">Response time, resolution time, hotspots, resource utilization reports.</t>
  </si>
  <si>
    <t xml:space="preserve">Analytics page</t>
  </si>
  <si>
    <t xml:space="preserve">T-056</t>
  </si>
  <si>
    <t xml:space="preserve">Broadcast alerts</t>
  </si>
  <si>
    <t xml:space="preserve">Authority announcements visible to citizens by zone.</t>
  </si>
  <si>
    <t xml:space="preserve">Announcements</t>
  </si>
  <si>
    <t xml:space="preserve">T-057</t>
  </si>
  <si>
    <t xml:space="preserve">Milestone M4: Feature freeze</t>
  </si>
  <si>
    <t xml:space="preserve">Freeze scope; only bug-fixes after this point.</t>
  </si>
  <si>
    <t xml:space="preserve">Freeze tag</t>
  </si>
  <si>
    <t xml:space="preserve">T-058</t>
  </si>
  <si>
    <t xml:space="preserve">Dockerize all services</t>
  </si>
  <si>
    <t xml:space="preserve">Multi-stage images, non-root users, compose profiles for dev/prod.</t>
  </si>
  <si>
    <t xml:space="preserve">Compose stack</t>
  </si>
  <si>
    <t xml:space="preserve">T-059</t>
  </si>
  <si>
    <t xml:space="preserve">Nginx reverse proxy + TLS</t>
  </si>
  <si>
    <t xml:space="preserve">Routing, gzip, security headers, CORS policy, TLS (self-signed or Let's Encrypt).</t>
  </si>
  <si>
    <t xml:space="preserve">Nginx config</t>
  </si>
  <si>
    <t xml:space="preserve">T-060</t>
  </si>
  <si>
    <t xml:space="preserve">Redis caching &amp; rate limiting</t>
  </si>
  <si>
    <t xml:space="preserve">Cache hot reads; token-bucket rate limits per role (e.g. citizen reports/min).</t>
  </si>
  <si>
    <t xml:space="preserve">Cache + limits</t>
  </si>
  <si>
    <t xml:space="preserve">T-061</t>
  </si>
  <si>
    <t xml:space="preserve">Observability</t>
  </si>
  <si>
    <t xml:space="preserve">Prometheus metrics, Grafana dashboards, structured JSON logs, queue-depth alerts.</t>
  </si>
  <si>
    <t xml:space="preserve">Grafana dashboards</t>
  </si>
  <si>
    <t xml:space="preserve">T-062</t>
  </si>
  <si>
    <t xml:space="preserve">Load testing</t>
  </si>
  <si>
    <t xml:space="preserve">Locust/k6: ~1000 virtual users, ~10k reports; record RPS, P95, queue lag, inference time.</t>
  </si>
  <si>
    <t xml:space="preserve">T-060, T-061</t>
  </si>
  <si>
    <t xml:space="preserve">Load-test report</t>
  </si>
  <si>
    <t xml:space="preserve">T-063</t>
  </si>
  <si>
    <t xml:space="preserve">Performance tuning</t>
  </si>
  <si>
    <t xml:space="preserve">EXPLAIN-driven indexes, worker concurrency, batch inference, connection pools.</t>
  </si>
  <si>
    <t xml:space="preserve">Tuning notes</t>
  </si>
  <si>
    <t xml:space="preserve">T-064</t>
  </si>
  <si>
    <t xml:space="preserve">Security testing</t>
  </si>
  <si>
    <t xml:space="preserve">OWASP Top-10 checklist, ZAP baseline scan, dependency audit, secrets scan.</t>
  </si>
  <si>
    <t xml:space="preserve">Security report</t>
  </si>
  <si>
    <t xml:space="preserve">T-065</t>
  </si>
  <si>
    <t xml:space="preserve">Resilience testing</t>
  </si>
  <si>
    <t xml:space="preserve">Kill worker/DB/broker mid-load; verify retries, DLQ and recovery.</t>
  </si>
  <si>
    <t xml:space="preserve">Resilience report</t>
  </si>
  <si>
    <t xml:space="preserve">T-066</t>
  </si>
  <si>
    <t xml:space="preserve">CI/CD pipeline</t>
  </si>
  <si>
    <t xml:space="preserve">Build, test, lint, scan, push images to GHCR; tagged releases.</t>
  </si>
  <si>
    <t xml:space="preserve">Pipeline</t>
  </si>
  <si>
    <t xml:space="preserve">T-067</t>
  </si>
  <si>
    <t xml:space="preserve">Deployment</t>
  </si>
  <si>
    <t xml:space="preserve">Deploy on local/college server or a free-tier VM if available; runbook + backup script.</t>
  </si>
  <si>
    <t xml:space="preserve">T-057, T-065</t>
  </si>
  <si>
    <t xml:space="preserve">Live deployment</t>
  </si>
  <si>
    <t xml:space="preserve">T-068</t>
  </si>
  <si>
    <t xml:space="preserve">Final SRS / HLD / LLD</t>
  </si>
  <si>
    <t xml:space="preserve">Update design docs to match what was actually built.</t>
  </si>
  <si>
    <t xml:space="preserve">Design docs</t>
  </si>
  <si>
    <t xml:space="preserve">T-069</t>
  </si>
  <si>
    <t xml:space="preserve">ML report</t>
  </si>
  <si>
    <t xml:space="preserve">Datasets, models, metrics, limitations, bias and ethics, failure cases.</t>
  </si>
  <si>
    <t xml:space="preserve">T-070</t>
  </si>
  <si>
    <t xml:space="preserve">Final project report</t>
  </si>
  <si>
    <t xml:space="preserve">Thesis-format report with results, screenshots, test evidence, future work.</t>
  </si>
  <si>
    <t xml:space="preserve">T-062, T-063</t>
  </si>
  <si>
    <t xml:space="preserve">Report PDF</t>
  </si>
  <si>
    <t xml:space="preserve">T-071</t>
  </si>
  <si>
    <t xml:space="preserve">Presentation &amp; poster</t>
  </si>
  <si>
    <t xml:space="preserve">Slide deck and one-page architecture poster.</t>
  </si>
  <si>
    <t xml:space="preserve">PPT + poster</t>
  </si>
  <si>
    <t xml:space="preserve">T-072</t>
  </si>
  <si>
    <t xml:space="preserve">Demo script &amp; backup video</t>
  </si>
  <si>
    <t xml:space="preserve">Scripted disaster scenario on seeded data; offline fallback and screen recording.</t>
  </si>
  <si>
    <t xml:space="preserve">Demo script + video</t>
  </si>
  <si>
    <t xml:space="preserve">T-073</t>
  </si>
  <si>
    <t xml:space="preserve">Mock vivas</t>
  </si>
  <si>
    <t xml:space="preserve">Two mock vivas using the Viva Prep sheet; fix weak answers.</t>
  </si>
  <si>
    <t xml:space="preserve">Q&amp;A notes</t>
  </si>
  <si>
    <t xml:space="preserve">T-074</t>
  </si>
  <si>
    <t xml:space="preserve">Buffer: bug-fixing &amp; polish</t>
  </si>
  <si>
    <t xml:space="preserve">Reserved slack for overruns, UI polish, last-minute fixes.</t>
  </si>
  <si>
    <t xml:space="preserve">Stable release</t>
  </si>
  <si>
    <t xml:space="preserve">T-075</t>
  </si>
  <si>
    <t xml:space="preserve">Final submission &amp; evaluation</t>
  </si>
  <si>
    <t xml:space="preserve">Submit report/code; present to evaluation committee.</t>
  </si>
  <si>
    <t xml:space="preserve">Submitted</t>
  </si>
  <si>
    <t xml:space="preserve">Add new tasks in the next empty row below the last task; formulas on Overview/Roadmap read rows 5-200. Copy the formulas in Phase Name, Start Date and End Date from the row above.</t>
  </si>
  <si>
    <t xml:space="preserve">Technology Stack (INR 0 budget)</t>
  </si>
  <si>
    <t xml:space="preserve">All components are free/open-source. Versions are suggestions; confirm licences and free-tier limits before relying on them.</t>
  </si>
  <si>
    <t xml:space="preserve">Layer</t>
  </si>
  <si>
    <t xml:space="preserve">Component</t>
  </si>
  <si>
    <t xml:space="preserve">Choice</t>
  </si>
  <si>
    <t xml:space="preserve">Why this choice</t>
  </si>
  <si>
    <t xml:space="preserve">Cost</t>
  </si>
  <si>
    <t xml:space="preserve">Alternative</t>
  </si>
  <si>
    <t xml:space="preserve">Backend API</t>
  </si>
  <si>
    <t xml:space="preserve">Web framework</t>
  </si>
  <si>
    <t xml:space="preserve">FastAPI (Python 3.11)</t>
  </si>
  <si>
    <t xml:space="preserve">Async, auto OpenAPI docs, same language as the ML code so models load in-process or in workers.</t>
  </si>
  <si>
    <t xml:space="preserve">Free</t>
  </si>
  <si>
    <t xml:space="preserve">NestJS (Node) + separate Python ML service</t>
  </si>
  <si>
    <t xml:space="preserve">Background jobs</t>
  </si>
  <si>
    <t xml:space="preserve">Celery workers on RabbitMQ</t>
  </si>
  <si>
    <t xml:space="preserve">Mature task queue with retries, ack/nack, routing and dead-letter support.</t>
  </si>
  <si>
    <t xml:space="preserve">Dramatiq, RQ, plain pika consumers</t>
  </si>
  <si>
    <t xml:space="preserve">ORM &amp; migrations</t>
  </si>
  <si>
    <t xml:space="preserve">SQLAlchemy 2 + Alembic</t>
  </si>
  <si>
    <t xml:space="preserve">Typed models, versioned schema migrations.</t>
  </si>
  <si>
    <t xml:space="preserve">Prisma (Node), Django ORM</t>
  </si>
  <si>
    <t xml:space="preserve">Data</t>
  </si>
  <si>
    <t xml:space="preserve">Primary database</t>
  </si>
  <si>
    <t xml:space="preserve">PostgreSQL 16 + PostGIS + pgvector</t>
  </si>
  <si>
    <t xml:space="preserve">One database for relational, geospatial and vector data; fewer moving parts to run and explain.</t>
  </si>
  <si>
    <t xml:space="preserve">Qdrant for vectors, MongoDB for raw reports</t>
  </si>
  <si>
    <t xml:space="preserve">Cache / rate limit / live ranking</t>
  </si>
  <si>
    <t xml:space="preserve">Redis 7</t>
  </si>
  <si>
    <t xml:space="preserve">Hot-read cache, token-bucket rate limits, sorted-set priority feed, pub/sub for realtime fan-out.</t>
  </si>
  <si>
    <t xml:space="preserve">Memcached (no sorted sets)</t>
  </si>
  <si>
    <t xml:space="preserve">Message broker</t>
  </si>
  <si>
    <t xml:space="preserve">RabbitMQ 3</t>
  </si>
  <si>
    <t xml:space="preserve">Durable queues, acknowledgements, DLQ; easy to demo in management UI.</t>
  </si>
  <si>
    <t xml:space="preserve">Kafka (heavier; justify only if streaming scale is a goal)</t>
  </si>
  <si>
    <t xml:space="preserve">Object storage</t>
  </si>
  <si>
    <t xml:space="preserve">MinIO (S3-compatible)</t>
  </si>
  <si>
    <t xml:space="preserve">Stores incident images and documents; signed URLs.</t>
  </si>
  <si>
    <t xml:space="preserve">Local volume for dev</t>
  </si>
  <si>
    <t xml:space="preserve">Web app</t>
  </si>
  <si>
    <t xml:space="preserve">React + Vite + TypeScript</t>
  </si>
  <si>
    <t xml:space="preserve">Fast dev loop, strong typing, large ecosystem.</t>
  </si>
  <si>
    <t xml:space="preserve">Next.js</t>
  </si>
  <si>
    <t xml:space="preserve">Maps</t>
  </si>
  <si>
    <t xml:space="preserve">Leaflet + OpenStreetMap</t>
  </si>
  <si>
    <t xml:space="preserve">No paid map API. Respect OSM tile usage policy or use a self-hosted/permitted tile source for heavier use.</t>
  </si>
  <si>
    <t xml:space="preserve">MapLibre GL</t>
  </si>
  <si>
    <t xml:space="preserve">UI &amp; charts</t>
  </si>
  <si>
    <t xml:space="preserve">Tailwind CSS + Recharts</t>
  </si>
  <si>
    <t xml:space="preserve">Rapid professional UI and dashboard charts.</t>
  </si>
  <si>
    <t xml:space="preserve">MUI, Chart.js</t>
  </si>
  <si>
    <t xml:space="preserve">Realtime</t>
  </si>
  <si>
    <t xml:space="preserve">Live updates</t>
  </si>
  <si>
    <t xml:space="preserve">WebSocket (FastAPI) / SSE with Redis pub/sub</t>
  </si>
  <si>
    <t xml:space="preserve">Push new incidents and status changes to the command center.</t>
  </si>
  <si>
    <t xml:space="preserve">Socket.IO</t>
  </si>
  <si>
    <t xml:space="preserve">AI / ML</t>
  </si>
  <si>
    <t xml:space="preserve">Classical ML &amp; NLP</t>
  </si>
  <si>
    <t xml:space="preserve">scikit-learn, Hugging Face Transformers</t>
  </si>
  <si>
    <t xml:space="preserve">Baselines (TF-IDF + LR) and fine-tuned small transformers.</t>
  </si>
  <si>
    <t xml:space="preserve">spaCy pipelines</t>
  </si>
  <si>
    <t xml:space="preserve">Embeddings</t>
  </si>
  <si>
    <t xml:space="preserve">sentence-transformers (multilingual MiniLM)</t>
  </si>
  <si>
    <t xml:space="preserve">Handles English/Hinglish similarity for duplicate detection; runs on CPU.</t>
  </si>
  <si>
    <t xml:space="preserve">BGE-small, E5-small</t>
  </si>
  <si>
    <t xml:space="preserve">LLM (local)</t>
  </si>
  <si>
    <t xml:space="preserve">Ollama + small open model (e.g. Llama 3.2 3B / Qwen2.5 3B-7B)</t>
  </si>
  <si>
    <t xml:space="preserve">Local inference, no API bill; size chosen to fit your laptop RAM.</t>
  </si>
  <si>
    <t xml:space="preserve">llama.cpp directly</t>
  </si>
  <si>
    <t xml:space="preserve">Computer vision</t>
  </si>
  <si>
    <t xml:space="preserve">PyTorch + torchvision (MobileNetV3 / EfficientNet-B0)</t>
  </si>
  <si>
    <t xml:space="preserve">Lightweight fine-tuning for flood/damage image classes on CPU or free Colab GPU.</t>
  </si>
  <si>
    <t xml:space="preserve">Free (Colab free tier)</t>
  </si>
  <si>
    <t xml:space="preserve">YOLO family (check licence)</t>
  </si>
  <si>
    <t xml:space="preserve">Experiment tracking</t>
  </si>
  <si>
    <t xml:space="preserve">MLflow</t>
  </si>
  <si>
    <t xml:space="preserve">Track runs, metrics, artifacts; supports model versioning story.</t>
  </si>
  <si>
    <t xml:space="preserve">Weights &amp; Biases free tier</t>
  </si>
  <si>
    <t xml:space="preserve">Geo</t>
  </si>
  <si>
    <t xml:space="preserve">Geocoding</t>
  </si>
  <si>
    <t xml:space="preserve">Nominatim (OpenStreetMap) + Redis cache</t>
  </si>
  <si>
    <t xml:space="preserve">Free geocoding; public instance has strict usage limits so cache aggressively or self-host a regional extract.</t>
  </si>
  <si>
    <t xml:space="preserve">Local gazetteer of city localities</t>
  </si>
  <si>
    <t xml:space="preserve">Distance / routing</t>
  </si>
  <si>
    <t xml:space="preserve">Haversine baseline; OSRM optional</t>
  </si>
  <si>
    <t xml:space="preserve">Straight-line distance first; road routing as stretch goal.</t>
  </si>
  <si>
    <t xml:space="preserve">OpenRouteService free tier</t>
  </si>
  <si>
    <t xml:space="preserve">Optimization</t>
  </si>
  <si>
    <t xml:space="preserve">Resource allocation</t>
  </si>
  <si>
    <t xml:space="preserve">SciPy linear_sum_assignment (Hungarian)</t>
  </si>
  <si>
    <t xml:space="preserve">Optimal assignment under cost matrix; easy to explain and test.</t>
  </si>
  <si>
    <t xml:space="preserve">OR-Tools min-cost flow</t>
  </si>
  <si>
    <t xml:space="preserve">Containers &amp; proxy</t>
  </si>
  <si>
    <t xml:space="preserve">Docker + Docker Compose + Nginx</t>
  </si>
  <si>
    <t xml:space="preserve">Reproducible one-command stack; TLS and routing at the edge.</t>
  </si>
  <si>
    <t xml:space="preserve">Podman, Caddy</t>
  </si>
  <si>
    <t xml:space="preserve">CI/CD</t>
  </si>
  <si>
    <t xml:space="preserve">GitHub Actions + GHCR</t>
  </si>
  <si>
    <t xml:space="preserve">Free CI minutes for student repos; image registry.</t>
  </si>
  <si>
    <t xml:space="preserve">Free (usage limits apply)</t>
  </si>
  <si>
    <t xml:space="preserve">GitLab CI</t>
  </si>
  <si>
    <t xml:space="preserve">Monitoring</t>
  </si>
  <si>
    <t xml:space="preserve">Prometheus + Grafana</t>
  </si>
  <si>
    <t xml:space="preserve">Metrics for RPS, latency, queue depth, inference time.</t>
  </si>
  <si>
    <t xml:space="preserve">Netdata, Loki for logs</t>
  </si>
  <si>
    <t xml:space="preserve">Quality</t>
  </si>
  <si>
    <t xml:space="preserve">pytest, Playwright, Locust (or k6), OWASP ZAP</t>
  </si>
  <si>
    <t xml:space="preserve">Unit, API, E2E, load and security scanning.</t>
  </si>
  <si>
    <t xml:space="preserve">Postman/Newman, JMeter</t>
  </si>
  <si>
    <t xml:space="preserve">Security</t>
  </si>
  <si>
    <t xml:space="preserve">Auth &amp; hardening</t>
  </si>
  <si>
    <t xml:space="preserve">JWT (PyJWT) + argon2/bcrypt, token-bucket limits, security headers</t>
  </si>
  <si>
    <t xml:space="preserve">Stateless auth with refresh tokens; deny-by-default RBAC.</t>
  </si>
  <si>
    <t xml:space="preserve">Keycloak (heavier IdP)</t>
  </si>
  <si>
    <t xml:space="preserve">Docs</t>
  </si>
  <si>
    <t xml:space="preserve">Diagrams &amp; API docs</t>
  </si>
  <si>
    <t xml:space="preserve">draw.io / Mermaid, Swagger UI</t>
  </si>
  <si>
    <t xml:space="preserve">Architecture diagrams and live API documentation.</t>
  </si>
  <si>
    <t xml:space="preserve">PlantUML</t>
  </si>
  <si>
    <t xml:space="preserve">Hosting</t>
  </si>
  <si>
    <t xml:space="preserve">Where it runs</t>
  </si>
  <si>
    <t xml:space="preserve">Local machine / college server; free-tier VM if available</t>
  </si>
  <si>
    <t xml:space="preserve">Zero-budget deployment; keep a recorded demo as fallback because free tiers can change.</t>
  </si>
  <si>
    <t xml:space="preserve">Render/Railway free tiers (limits apply)</t>
  </si>
  <si>
    <t xml:space="preserve">Architecture: Services &amp; Design Decisions</t>
  </si>
  <si>
    <t xml:space="preserve">Section A: services. Section B (below): decisions to defend in viva.</t>
  </si>
  <si>
    <t xml:space="preserve">Service / Module</t>
  </si>
  <si>
    <t xml:space="preserve">Responsibility</t>
  </si>
  <si>
    <t xml:space="preserve">Technology</t>
  </si>
  <si>
    <t xml:space="preserve">Talks To</t>
  </si>
  <si>
    <t xml:space="preserve">Data Store</t>
  </si>
  <si>
    <t xml:space="preserve">Scales By</t>
  </si>
  <si>
    <t xml:space="preserve">API Gateway / Nginx</t>
  </si>
  <si>
    <t xml:space="preserve">TLS termination, routing, rate limiting at edge, static frontend.</t>
  </si>
  <si>
    <t xml:space="preserve">Nginx</t>
  </si>
  <si>
    <t xml:space="preserve">API service, Frontend</t>
  </si>
  <si>
    <t xml:space="preserve">-</t>
  </si>
  <si>
    <t xml:space="preserve">Replicas behind load balancer</t>
  </si>
  <si>
    <t xml:space="preserve">API Service (modular monolith)</t>
  </si>
  <si>
    <t xml:space="preserve">Auth, RBAC, incidents, resources, assignments, analytics as separate internal modules with clean boundaries.</t>
  </si>
  <si>
    <t xml:space="preserve">FastAPI</t>
  </si>
  <si>
    <t xml:space="preserve">Postgres, Redis, RabbitMQ, MinIO</t>
  </si>
  <si>
    <t xml:space="preserve">PostgreSQL</t>
  </si>
  <si>
    <t xml:space="preserve">Stateless replicas</t>
  </si>
  <si>
    <t xml:space="preserve">Registration, login, JWT access/refresh, role checks, audit entries.</t>
  </si>
  <si>
    <t xml:space="preserve">FastAPI module</t>
  </si>
  <si>
    <t xml:space="preserve">Postgres, Redis</t>
  </si>
  <si>
    <t xml:space="preserve">Stateless</t>
  </si>
  <si>
    <t xml:space="preserve">Incident module</t>
  </si>
  <si>
    <t xml:space="preserve">Accept reports, return immediately (HTTP 202), publish event to queue.</t>
  </si>
  <si>
    <t xml:space="preserve">RabbitMQ, Postgres</t>
  </si>
  <si>
    <t xml:space="preserve">Stateless; queue absorbs bursts</t>
  </si>
  <si>
    <t xml:space="preserve">NLP AI Worker</t>
  </si>
  <si>
    <t xml:space="preserve">Classify category, severity, extract entities; write predictions with confidence.</t>
  </si>
  <si>
    <t xml:space="preserve">Celery + scikit-learn/Transformers</t>
  </si>
  <si>
    <t xml:space="preserve">More worker processes</t>
  </si>
  <si>
    <t xml:space="preserve">Embedding &amp; Dedup Worker</t>
  </si>
  <si>
    <t xml:space="preserve">Create embeddings, search pgvector, merge duplicates by similarity + geo + time.</t>
  </si>
  <si>
    <t xml:space="preserve">Celery + sentence-transformers</t>
  </si>
  <si>
    <t xml:space="preserve">Postgres(pgvector), Redis</t>
  </si>
  <si>
    <t xml:space="preserve">Worker replicas</t>
  </si>
  <si>
    <t xml:space="preserve">Geo Worker</t>
  </si>
  <si>
    <t xml:space="preserve">Geocode location phrases, cache results, compute zones/clusters.</t>
  </si>
  <si>
    <t xml:space="preserve">Celery + Nominatim client</t>
  </si>
  <si>
    <t xml:space="preserve">Redis, Postgres(PostGIS)</t>
  </si>
  <si>
    <t xml:space="preserve">PostgreSQL + Redis</t>
  </si>
  <si>
    <t xml:space="preserve">Worker replicas (respect rate limit)</t>
  </si>
  <si>
    <t xml:space="preserve">Priority &amp; Allocation Engine</t>
  </si>
  <si>
    <t xml:space="preserve">Compute priority score, maintain ranked feed, recommend resource assignments.</t>
  </si>
  <si>
    <t xml:space="preserve">Python + SciPy</t>
  </si>
  <si>
    <t xml:space="preserve">Redis, Postgres</t>
  </si>
  <si>
    <t xml:space="preserve">Redis + PostgreSQL</t>
  </si>
  <si>
    <t xml:space="preserve">Stateless compute</t>
  </si>
  <si>
    <t xml:space="preserve">CV Worker</t>
  </si>
  <si>
    <t xml:space="preserve">Flood/damage image classification; returns signals for fusion.</t>
  </si>
  <si>
    <t xml:space="preserve">Celery + PyTorch</t>
  </si>
  <si>
    <t xml:space="preserve">MinIO, RabbitMQ, Postgres</t>
  </si>
  <si>
    <t xml:space="preserve">MinIO + PostgreSQL</t>
  </si>
  <si>
    <t xml:space="preserve">GPU/CPU workers</t>
  </si>
  <si>
    <t xml:space="preserve">LLM Service</t>
  </si>
  <si>
    <t xml:space="preserve">Summaries and NL-to-filter conversion using local model; output validated against schema.</t>
  </si>
  <si>
    <t xml:space="preserve">Ollama</t>
  </si>
  <si>
    <t xml:space="preserve">API service</t>
  </si>
  <si>
    <t xml:space="preserve">Dedicated host/queue</t>
  </si>
  <si>
    <t xml:space="preserve">Realtime Gateway</t>
  </si>
  <si>
    <t xml:space="preserve">Push live events to dashboards.</t>
  </si>
  <si>
    <t xml:space="preserve">FastAPI WebSocket + Redis pub/sub</t>
  </si>
  <si>
    <t xml:space="preserve">Redis, Frontend</t>
  </si>
  <si>
    <t xml:space="preserve">Redis</t>
  </si>
  <si>
    <t xml:space="preserve">Sticky sessions or pub/sub fan-out</t>
  </si>
  <si>
    <t xml:space="preserve">Observability stack</t>
  </si>
  <si>
    <t xml:space="preserve">Collect metrics, dashboards, alerts.</t>
  </si>
  <si>
    <t xml:space="preserve">All services</t>
  </si>
  <si>
    <t xml:space="preserve">Prometheus TSDB</t>
  </si>
  <si>
    <t xml:space="preserve">B. KEY DESIGN DECISIONS</t>
  </si>
  <si>
    <t xml:space="preserve">Decision</t>
  </si>
  <si>
    <t xml:space="preserve">Rationale</t>
  </si>
  <si>
    <t xml:space="preserve">Trade-off / what to say if challenged</t>
  </si>
  <si>
    <t xml:space="preserve">Architecture style</t>
  </si>
  <si>
    <t xml:space="preserve">Modular monolith API + independent workers</t>
  </si>
  <si>
    <t xml:space="preserve">Microservice-ready boundaries without the operational burden of 10+ deployables for a student team.</t>
  </si>
  <si>
    <t xml:space="preserve">Less independent deploy per module; mitigated by queue-based workers and clean module interfaces.</t>
  </si>
  <si>
    <t xml:space="preserve">Synchronous vs async ingest</t>
  </si>
  <si>
    <t xml:space="preserve">Accept -&gt; enqueue -&gt; respond 202; process in workers</t>
  </si>
  <si>
    <t xml:space="preserve">Disaster traffic is bursty; the queue absorbs spikes and decouples slow AI work from user latency.</t>
  </si>
  <si>
    <t xml:space="preserve">Eventual consistency: classification appears seconds later; UI shows 'processing' state.</t>
  </si>
  <si>
    <t xml:space="preserve">Delivery guarantees</t>
  </si>
  <si>
    <t xml:space="preserve">At-least-once + idempotent consumers + DLQ</t>
  </si>
  <si>
    <t xml:space="preserve">Prevents lost reports; duplicates handled by idempotency keys.</t>
  </si>
  <si>
    <t xml:space="preserve">Requires idempotency design; exactly-once is not claimed.</t>
  </si>
  <si>
    <t xml:space="preserve">Single DB for relational + vector + geo</t>
  </si>
  <si>
    <t xml:space="preserve">PostgreSQL with PostGIS and pgvector</t>
  </si>
  <si>
    <t xml:space="preserve">Fewer systems to operate; transactions across entities and embeddings.</t>
  </si>
  <si>
    <t xml:space="preserve">Dedicated vector DB scales better at very large volume; not needed at project scale.</t>
  </si>
  <si>
    <t xml:space="preserve">Where to use LLM</t>
  </si>
  <si>
    <t xml:space="preserve">Only summaries and NL-to-filter; never as sole decision-maker</t>
  </si>
  <si>
    <t xml:space="preserve">Classification/priority use cheaper, testable models; LLM output is validated and advisory.</t>
  </si>
  <si>
    <t xml:space="preserve">LLM can hallucinate; guardrails, schema validation and human approval reduce risk.</t>
  </si>
  <si>
    <t xml:space="preserve">Human in the loop</t>
  </si>
  <si>
    <t xml:space="preserve">Authority approves allocations; can override AI labels</t>
  </si>
  <si>
    <t xml:space="preserve">Safety-critical domain; builds trust and creates feedback data.</t>
  </si>
  <si>
    <t xml:space="preserve">Slower than full automation; acceptable for emergency decisions.</t>
  </si>
  <si>
    <t xml:space="preserve">Priority scoring</t>
  </si>
  <si>
    <t xml:space="preserve">Transparent weighted formula (configurable)</t>
  </si>
  <si>
    <t xml:space="preserve">Explainable to examiners and authorities; weights can be tuned.</t>
  </si>
  <si>
    <t xml:space="preserve">Weights are judgment-based; show sensitivity analysis.</t>
  </si>
  <si>
    <t xml:space="preserve">Hungarian assignment on distance cost matrix</t>
  </si>
  <si>
    <t xml:space="preserve">Optimal under cost model; deterministic and testable.</t>
  </si>
  <si>
    <t xml:space="preserve">Ignores traffic and road closures unless routing added.</t>
  </si>
  <si>
    <t xml:space="preserve">JWT + deny-by-default RBAC + rate limits + audit log</t>
  </si>
  <si>
    <t xml:space="preserve">Protects role boundaries and prevents report flooding.</t>
  </si>
  <si>
    <t xml:space="preserve">Public reporting endpoint needs abuse controls (CAPTCHA/phone verify) as future work.</t>
  </si>
  <si>
    <t xml:space="preserve">Caching</t>
  </si>
  <si>
    <t xml:space="preserve">Redis for hot reads and ranked feed with explicit TTL/invalidation</t>
  </si>
  <si>
    <t xml:space="preserve">Reduces DB load on dashboards.</t>
  </si>
  <si>
    <t xml:space="preserve">Stale data risk; keep short TTLs and event-based invalidation.</t>
  </si>
  <si>
    <t xml:space="preserve">Database Design (PostgreSQL + PostGIS + pgvector)</t>
  </si>
  <si>
    <t xml:space="preserve">Logical design for implementation; refine in LLD. Add indexes on foreign keys and common filters.</t>
  </si>
  <si>
    <t xml:space="preserve">Table</t>
  </si>
  <si>
    <t xml:space="preserve">Column</t>
  </si>
  <si>
    <t xml:space="preserve">Type</t>
  </si>
  <si>
    <t xml:space="preserve">Constraints / Index</t>
  </si>
  <si>
    <t xml:space="preserve">Notes</t>
  </si>
  <si>
    <t xml:space="preserve">users</t>
  </si>
  <si>
    <t xml:space="preserve">id</t>
  </si>
  <si>
    <t xml:space="preserve">UUID</t>
  </si>
  <si>
    <t xml:space="preserve">PK</t>
  </si>
  <si>
    <t xml:space="preserve">Unique user id</t>
  </si>
  <si>
    <t xml:space="preserve">name</t>
  </si>
  <si>
    <t xml:space="preserve">VARCHAR(120)</t>
  </si>
  <si>
    <t xml:space="preserve">NOT NULL</t>
  </si>
  <si>
    <t xml:space="preserve">Full name</t>
  </si>
  <si>
    <t xml:space="preserve">email</t>
  </si>
  <si>
    <t xml:space="preserve">VARCHAR(255)</t>
  </si>
  <si>
    <t xml:space="preserve">UNIQUE, NOT NULL</t>
  </si>
  <si>
    <t xml:space="preserve">Login id</t>
  </si>
  <si>
    <t xml:space="preserve">phone</t>
  </si>
  <si>
    <t xml:space="preserve">VARCHAR(20)</t>
  </si>
  <si>
    <t xml:space="preserve">NULL</t>
  </si>
  <si>
    <t xml:space="preserve">For verification/alerts</t>
  </si>
  <si>
    <t xml:space="preserve">password_hash</t>
  </si>
  <si>
    <t xml:space="preserve">argon2/bcrypt hash only</t>
  </si>
  <si>
    <t xml:space="preserve">role</t>
  </si>
  <si>
    <t xml:space="preserve">ENUM</t>
  </si>
  <si>
    <t xml:space="preserve">citizen | authority | rescue | admin</t>
  </si>
  <si>
    <t xml:space="preserve">is_active</t>
  </si>
  <si>
    <t xml:space="preserve">BOOLEAN</t>
  </si>
  <si>
    <t xml:space="preserve">DEFAULT true</t>
  </si>
  <si>
    <t xml:space="preserve">Soft disable</t>
  </si>
  <si>
    <t xml:space="preserve">created_at</t>
  </si>
  <si>
    <t xml:space="preserve">TIMESTAMPTZ</t>
  </si>
  <si>
    <t xml:space="preserve">DEFAULT now()</t>
  </si>
  <si>
    <t xml:space="preserve">Audit</t>
  </si>
  <si>
    <t xml:space="preserve">incidents</t>
  </si>
  <si>
    <t xml:space="preserve">Canonical incident</t>
  </si>
  <si>
    <t xml:space="preserve">title</t>
  </si>
  <si>
    <t xml:space="preserve">VARCHAR(200)</t>
  </si>
  <si>
    <t xml:space="preserve">Short title</t>
  </si>
  <si>
    <t xml:space="preserve">description</t>
  </si>
  <si>
    <t xml:space="preserve">TEXT</t>
  </si>
  <si>
    <t xml:space="preserve">Merged/primary description</t>
  </si>
  <si>
    <t xml:space="preserve">category</t>
  </si>
  <si>
    <t xml:space="preserve">medical|rescue|infrastructure|fire|flood|other</t>
  </si>
  <si>
    <t xml:space="preserve">severity</t>
  </si>
  <si>
    <t xml:space="preserve">LOW|MEDIUM|HIGH|CRITICAL</t>
  </si>
  <si>
    <t xml:space="preserve">people_affected</t>
  </si>
  <si>
    <t xml:space="preserve">INT</t>
  </si>
  <si>
    <t xml:space="preserve">DEFAULT 0</t>
  </si>
  <si>
    <t xml:space="preserve">Extracted or reported</t>
  </si>
  <si>
    <t xml:space="preserve">priority_score</t>
  </si>
  <si>
    <t xml:space="preserve">NUMERIC(5,2)</t>
  </si>
  <si>
    <t xml:space="preserve">INDEX</t>
  </si>
  <si>
    <t xml:space="preserve">0-100 from priority engine</t>
  </si>
  <si>
    <t xml:space="preserve">location</t>
  </si>
  <si>
    <t xml:space="preserve">GEOGRAPHY(Point,4326)</t>
  </si>
  <si>
    <t xml:space="preserve">GiST INDEX</t>
  </si>
  <si>
    <t xml:space="preserve">PostGIS point</t>
  </si>
  <si>
    <t xml:space="preserve">location_text</t>
  </si>
  <si>
    <t xml:space="preserve">Original text phrase</t>
  </si>
  <si>
    <t xml:space="preserve">status</t>
  </si>
  <si>
    <t xml:space="preserve">new|verified|assigned|in_progress|resolved|rejected</t>
  </si>
  <si>
    <t xml:space="preserve">report_count</t>
  </si>
  <si>
    <t xml:space="preserve">DEFAULT 1</t>
  </si>
  <si>
    <t xml:space="preserve">Number of merged duplicate reports</t>
  </si>
  <si>
    <t xml:space="preserve">zone_id</t>
  </si>
  <si>
    <t xml:space="preserve">FK -&gt; disaster_zones</t>
  </si>
  <si>
    <t xml:space="preserve">Affected zone</t>
  </si>
  <si>
    <t xml:space="preserve">created_at / updated_at</t>
  </si>
  <si>
    <t xml:space="preserve">Waiting time derives from created_at</t>
  </si>
  <si>
    <t xml:space="preserve">incident_reports</t>
  </si>
  <si>
    <t xml:space="preserve">Raw citizen/team report</t>
  </si>
  <si>
    <t xml:space="preserve">incident_id</t>
  </si>
  <si>
    <t xml:space="preserve">FK -&gt; incidents</t>
  </si>
  <si>
    <t xml:space="preserve">Set after dedup</t>
  </si>
  <si>
    <t xml:space="preserve">user_id</t>
  </si>
  <si>
    <t xml:space="preserve">FK -&gt; users</t>
  </si>
  <si>
    <t xml:space="preserve">Reporter</t>
  </si>
  <si>
    <t xml:space="preserve">raw_text</t>
  </si>
  <si>
    <t xml:space="preserve">Original text, never altered</t>
  </si>
  <si>
    <t xml:space="preserve">idempotency_key</t>
  </si>
  <si>
    <t xml:space="preserve">VARCHAR(64)</t>
  </si>
  <si>
    <t xml:space="preserve">UNIQUE</t>
  </si>
  <si>
    <t xml:space="preserve">Prevents double processing</t>
  </si>
  <si>
    <t xml:space="preserve">processing_state</t>
  </si>
  <si>
    <t xml:space="preserve">queued|processing|done|failed</t>
  </si>
  <si>
    <t xml:space="preserve">Receive time</t>
  </si>
  <si>
    <t xml:space="preserve">report_embeddings</t>
  </si>
  <si>
    <t xml:space="preserve">report_id</t>
  </si>
  <si>
    <t xml:space="preserve">PK, FK</t>
  </si>
  <si>
    <t xml:space="preserve">One embedding per report</t>
  </si>
  <si>
    <t xml:space="preserve">embedding</t>
  </si>
  <si>
    <t xml:space="preserve">VECTOR(384)</t>
  </si>
  <si>
    <t xml:space="preserve">HNSW/IVFFlat INDEX</t>
  </si>
  <si>
    <t xml:space="preserve">Dimension depends on model</t>
  </si>
  <si>
    <t xml:space="preserve">model_version</t>
  </si>
  <si>
    <t xml:space="preserve">VARCHAR(50)</t>
  </si>
  <si>
    <t xml:space="preserve">Reproducibility</t>
  </si>
  <si>
    <t xml:space="preserve">media</t>
  </si>
  <si>
    <t xml:space="preserve">Image/document</t>
  </si>
  <si>
    <t xml:space="preserve">FK</t>
  </si>
  <si>
    <t xml:space="preserve">Parent report</t>
  </si>
  <si>
    <t xml:space="preserve">object_key</t>
  </si>
  <si>
    <t xml:space="preserve">MinIO key</t>
  </si>
  <si>
    <t xml:space="preserve">mime_type</t>
  </si>
  <si>
    <t xml:space="preserve">CHECK allowed</t>
  </si>
  <si>
    <t xml:space="preserve">Validated type</t>
  </si>
  <si>
    <t xml:space="preserve">cv_label / cv_score</t>
  </si>
  <si>
    <t xml:space="preserve">VARCHAR / REAL</t>
  </si>
  <si>
    <t xml:space="preserve">CV worker output</t>
  </si>
  <si>
    <t xml:space="preserve">ai_predictions</t>
  </si>
  <si>
    <t xml:space="preserve">Prediction record</t>
  </si>
  <si>
    <t xml:space="preserve">incident_id / report_id</t>
  </si>
  <si>
    <t xml:space="preserve">Target</t>
  </si>
  <si>
    <t xml:space="preserve">model_name / model_version</t>
  </si>
  <si>
    <t xml:space="preserve">VARCHAR</t>
  </si>
  <si>
    <t xml:space="preserve">Traceability</t>
  </si>
  <si>
    <t xml:space="preserve">label</t>
  </si>
  <si>
    <t xml:space="preserve">Predicted class</t>
  </si>
  <si>
    <t xml:space="preserve">confidence</t>
  </si>
  <si>
    <t xml:space="preserve">REAL</t>
  </si>
  <si>
    <t xml:space="preserve">CHECK 0-1</t>
  </si>
  <si>
    <t xml:space="preserve">Probability</t>
  </si>
  <si>
    <t xml:space="preserve">overridden_by</t>
  </si>
  <si>
    <t xml:space="preserve">FK -&gt; users NULL</t>
  </si>
  <si>
    <t xml:space="preserve">Human correction</t>
  </si>
  <si>
    <t xml:space="preserve">resources</t>
  </si>
  <si>
    <t xml:space="preserve">Ambulance, boat, team, kit</t>
  </si>
  <si>
    <t xml:space="preserve">type</t>
  </si>
  <si>
    <t xml:space="preserve">ambulance|rescue_team|boat|medical_kit|food_kit|other</t>
  </si>
  <si>
    <t xml:space="preserve">VARCHAR(100)</t>
  </si>
  <si>
    <t xml:space="preserve">Display name/code</t>
  </si>
  <si>
    <t xml:space="preserve">available|assigned|offline</t>
  </si>
  <si>
    <t xml:space="preserve">Last known position</t>
  </si>
  <si>
    <t xml:space="preserve">capacity</t>
  </si>
  <si>
    <t xml:space="preserve">People/units</t>
  </si>
  <si>
    <t xml:space="preserve">assignments</t>
  </si>
  <si>
    <t xml:space="preserve">Allocation record</t>
  </si>
  <si>
    <t xml:space="preserve">Target incident</t>
  </si>
  <si>
    <t xml:space="preserve">resource_id</t>
  </si>
  <si>
    <t xml:space="preserve">Assigned resource</t>
  </si>
  <si>
    <t xml:space="preserve">recommended|approved|accepted|in_progress|completed|cancelled</t>
  </si>
  <si>
    <t xml:space="preserve">recommended_cost</t>
  </si>
  <si>
    <t xml:space="preserve">NUMERIC</t>
  </si>
  <si>
    <t xml:space="preserve">Optimizer cost (e.g. km)</t>
  </si>
  <si>
    <t xml:space="preserve">assigned_at / completed_at</t>
  </si>
  <si>
    <t xml:space="preserve">Lifecycle times</t>
  </si>
  <si>
    <t xml:space="preserve">disaster_zones</t>
  </si>
  <si>
    <t xml:space="preserve">id / name / boundary</t>
  </si>
  <si>
    <t xml:space="preserve">UUID / TEXT / GEOGRAPHY(Polygon)</t>
  </si>
  <si>
    <t xml:space="preserve">PK, GiST</t>
  </si>
  <si>
    <t xml:space="preserve">Zone polygons for filtering and analytics</t>
  </si>
  <si>
    <t xml:space="preserve">announcements</t>
  </si>
  <si>
    <t xml:space="preserve">id / zone_id / message / created_by</t>
  </si>
  <si>
    <t xml:space="preserve">UUID / UUID / TEXT / UUID</t>
  </si>
  <si>
    <t xml:space="preserve">audit_logs</t>
  </si>
  <si>
    <t xml:space="preserve">BIGSERIAL</t>
  </si>
  <si>
    <t xml:space="preserve">Append-only</t>
  </si>
  <si>
    <t xml:space="preserve">actor_id / action / entity / entity_id</t>
  </si>
  <si>
    <t xml:space="preserve">UUID / TEXT</t>
  </si>
  <si>
    <t xml:space="preserve">Who did what</t>
  </si>
  <si>
    <t xml:space="preserve">payload / created_at</t>
  </si>
  <si>
    <t xml:space="preserve">JSONB / TIMESTAMPTZ</t>
  </si>
  <si>
    <t xml:space="preserve">Change details</t>
  </si>
  <si>
    <t xml:space="preserve">Index plan: GiST on geography columns; HNSW/IVFFlat on embeddings; B-tree on (status, priority_score DESC), created_at, foreign keys; partial index on active incidents.</t>
  </si>
  <si>
    <t xml:space="preserve">API Design (REST + WebSocket)</t>
  </si>
  <si>
    <t xml:space="preserve">All routes versioned under /api/v1 in implementation. Deny-by-default RBAC; every list endpoint paginated.</t>
  </si>
  <si>
    <t xml:space="preserve">Method</t>
  </si>
  <si>
    <t xml:space="preserve">Endpoint</t>
  </si>
  <si>
    <t xml:space="preserve">Access (role)</t>
  </si>
  <si>
    <t xml:space="preserve">Purpose</t>
  </si>
  <si>
    <t xml:space="preserve">POST</t>
  </si>
  <si>
    <t xml:space="preserve">/auth/register</t>
  </si>
  <si>
    <t xml:space="preserve">Public</t>
  </si>
  <si>
    <t xml:space="preserve">Create citizen account</t>
  </si>
  <si>
    <t xml:space="preserve">/auth/login</t>
  </si>
  <si>
    <t xml:space="preserve">Return access + refresh token</t>
  </si>
  <si>
    <t xml:space="preserve">/auth/refresh</t>
  </si>
  <si>
    <t xml:space="preserve">Authenticated</t>
  </si>
  <si>
    <t xml:space="preserve">Rotate access token</t>
  </si>
  <si>
    <t xml:space="preserve">/auth/logout</t>
  </si>
  <si>
    <t xml:space="preserve">Revoke refresh token</t>
  </si>
  <si>
    <t xml:space="preserve">GET</t>
  </si>
  <si>
    <t xml:space="preserve">/users/me</t>
  </si>
  <si>
    <t xml:space="preserve">Current profile</t>
  </si>
  <si>
    <t xml:space="preserve">GET/PATCH</t>
  </si>
  <si>
    <t xml:space="preserve">/admin/users</t>
  </si>
  <si>
    <t xml:space="preserve">Admin</t>
  </si>
  <si>
    <t xml:space="preserve">List/modify users and roles</t>
  </si>
  <si>
    <t xml:space="preserve">/incidents/reports</t>
  </si>
  <si>
    <t xml:space="preserve">Citizen+</t>
  </si>
  <si>
    <t xml:space="preserve">Submit report (returns 202 + tracking id)</t>
  </si>
  <si>
    <t xml:space="preserve">/incidents/reports/{id}</t>
  </si>
  <si>
    <t xml:space="preserve">Owner, Authority</t>
  </si>
  <si>
    <t xml:space="preserve">Track processing state</t>
  </si>
  <si>
    <t xml:space="preserve">/media/upload-url</t>
  </si>
  <si>
    <t xml:space="preserve">Get signed upload URL; validate type/size</t>
  </si>
  <si>
    <t xml:space="preserve">/incidents</t>
  </si>
  <si>
    <t xml:space="preserve">Authority, Rescue</t>
  </si>
  <si>
    <t xml:space="preserve">Paginated list with filters (status, severity, zone, bbox)</t>
  </si>
  <si>
    <t xml:space="preserve">/incidents/{id}</t>
  </si>
  <si>
    <t xml:space="preserve">Detail with predictions, merged reports, score breakdown</t>
  </si>
  <si>
    <t xml:space="preserve">PATCH</t>
  </si>
  <si>
    <t xml:space="preserve">/incidents/{id}/status</t>
  </si>
  <si>
    <t xml:space="preserve">Authority</t>
  </si>
  <si>
    <t xml:space="preserve">Verify / reject / resolve</t>
  </si>
  <si>
    <t xml:space="preserve">/incidents/{id}/labels</t>
  </si>
  <si>
    <t xml:space="preserve">Override AI category/severity (audited)</t>
  </si>
  <si>
    <t xml:space="preserve">GET/POST/PATCH</t>
  </si>
  <si>
    <t xml:space="preserve">/resources</t>
  </si>
  <si>
    <t xml:space="preserve">Authority, Admin</t>
  </si>
  <si>
    <t xml:space="preserve">Manage resources and availability</t>
  </si>
  <si>
    <t xml:space="preserve">/incidents/ranked</t>
  </si>
  <si>
    <t xml:space="preserve">Priority-ranked feed (Redis)</t>
  </si>
  <si>
    <t xml:space="preserve">/allocations/recommend</t>
  </si>
  <si>
    <t xml:space="preserve">Run optimizer and return recommendations</t>
  </si>
  <si>
    <t xml:space="preserve">/allocations/{id}/approve</t>
  </si>
  <si>
    <t xml:space="preserve">Approve a recommendation</t>
  </si>
  <si>
    <t xml:space="preserve">/assignments/mine</t>
  </si>
  <si>
    <t xml:space="preserve">Rescue</t>
  </si>
  <si>
    <t xml:space="preserve">Assigned incidents</t>
  </si>
  <si>
    <t xml:space="preserve">/assignments/{id}/status</t>
  </si>
  <si>
    <t xml:space="preserve">Accept / start / complete</t>
  </si>
  <si>
    <t xml:space="preserve">/zones</t>
  </si>
  <si>
    <t xml:space="preserve">Zones as GeoJSON</t>
  </si>
  <si>
    <t xml:space="preserve">/llm/summary</t>
  </si>
  <si>
    <t xml:space="preserve">Summarize selected incidents / current situation</t>
  </si>
  <si>
    <t xml:space="preserve">/llm/query</t>
  </si>
  <si>
    <t xml:space="preserve">NL query -&gt; validated structured filter</t>
  </si>
  <si>
    <t xml:space="preserve">WS</t>
  </si>
  <si>
    <t xml:space="preserve">/ws/live</t>
  </si>
  <si>
    <t xml:space="preserve">Realtime incident/resource events</t>
  </si>
  <si>
    <t xml:space="preserve">/analytics/overview</t>
  </si>
  <si>
    <t xml:space="preserve">KPIs, response times, hotspots</t>
  </si>
  <si>
    <t xml:space="preserve">POST/GET</t>
  </si>
  <si>
    <t xml:space="preserve">/announcements</t>
  </si>
  <si>
    <t xml:space="preserve">Authority (POST), All (GET)</t>
  </si>
  <si>
    <t xml:space="preserve">/health, /metrics</t>
  </si>
  <si>
    <t xml:space="preserve">Internal</t>
  </si>
  <si>
    <t xml:space="preserve">Liveness/readiness and Prometheus metrics</t>
  </si>
  <si>
    <t xml:space="preserve">AI / ML Plan</t>
  </si>
  <si>
    <t xml:space="preserve">Targets are planning goals to be validated experimentally; report actual numbers honestly in the ML report. Verify each dataset's licence and terms before use.</t>
  </si>
  <si>
    <t xml:space="preserve">Model</t>
  </si>
  <si>
    <t xml:space="preserve">Input</t>
  </si>
  <si>
    <t xml:space="preserve">Output</t>
  </si>
  <si>
    <t xml:space="preserve">Dataset (free / public)</t>
  </si>
  <si>
    <t xml:space="preserve">Metrics</t>
  </si>
  <si>
    <t xml:space="preserve">M1</t>
  </si>
  <si>
    <t xml:space="preserve">Report text</t>
  </si>
  <si>
    <t xml:space="preserve">medical / rescue / infrastructure / fire / flood / other</t>
  </si>
  <si>
    <t xml:space="preserve">TF-IDF+LogReg baseline; fine-tuned DistilBERT or MiniLM head</t>
  </si>
  <si>
    <t xml:space="preserve">HumAID, CrisisNLP (Twitter crisis data) + own synthetic data</t>
  </si>
  <si>
    <t xml:space="preserve">Macro-F1, per-class recall</t>
  </si>
  <si>
    <t xml:space="preserve">Macro-F1 &gt;= 0.75 (planning target)</t>
  </si>
  <si>
    <t xml:space="preserve">M2</t>
  </si>
  <si>
    <t xml:space="preserve">Text + engineered features (people count, medical flag, trapped flag)</t>
  </si>
  <si>
    <t xml:space="preserve">LOW / MEDIUM / HIGH / CRITICAL with probabilities</t>
  </si>
  <si>
    <t xml:space="preserve">Gradient boosting or LogReg on text+features; compare with transformer</t>
  </si>
  <si>
    <t xml:space="preserve">Labeled subset + synthetic; relabel with clear rubric</t>
  </si>
  <si>
    <t xml:space="preserve">Recall on CRITICAL (prioritize), weighted-F1</t>
  </si>
  <si>
    <t xml:space="preserve">CRITICAL recall &gt;= 0.85 (planning target)</t>
  </si>
  <si>
    <t xml:space="preserve">M3</t>
  </si>
  <si>
    <t xml:space="preserve">Entity extractor</t>
  </si>
  <si>
    <t xml:space="preserve">people_count, location phrase, resource needed</t>
  </si>
  <si>
    <t xml:space="preserve">Regex/rules + NER fallback; Hinglish number words</t>
  </si>
  <si>
    <t xml:space="preserve">Hand-annotated sample (200-300 reports)</t>
  </si>
  <si>
    <t xml:space="preserve">Exact-match / token F1</t>
  </si>
  <si>
    <t xml:space="preserve">F1 &gt;= 0.80 on annotated set</t>
  </si>
  <si>
    <t xml:space="preserve">M4</t>
  </si>
  <si>
    <t xml:space="preserve">Duplicate detector</t>
  </si>
  <si>
    <t xml:space="preserve">Report embedding + coordinates + time</t>
  </si>
  <si>
    <t xml:space="preserve">same-incident decision</t>
  </si>
  <si>
    <t xml:space="preserve">Cosine similarity on multilingual MiniLM + geo-radius + time window</t>
  </si>
  <si>
    <t xml:space="preserve">Constructed duplicate pairs from clusters</t>
  </si>
  <si>
    <t xml:space="preserve">Precision / recall at chosen threshold</t>
  </si>
  <si>
    <t xml:space="preserve">Precision &gt;= 0.90 at recall &gt;= 0.70</t>
  </si>
  <si>
    <t xml:space="preserve">M5</t>
  </si>
  <si>
    <t xml:space="preserve">Image classifier</t>
  </si>
  <si>
    <t xml:space="preserve">Uploaded image</t>
  </si>
  <si>
    <t xml:space="preserve">flood / damage / normal + score</t>
  </si>
  <si>
    <t xml:space="preserve">Fine-tuned MobileNetV3 / EfficientNet-B0</t>
  </si>
  <si>
    <t xml:space="preserve">FloodNet (post-flood imagery), CrisisMMD, other public flood sets</t>
  </si>
  <si>
    <t xml:space="preserve">Accuracy, F1, confusion matrix</t>
  </si>
  <si>
    <t xml:space="preserve">F1 &gt;= 0.80 on held-out set</t>
  </si>
  <si>
    <t xml:space="preserve">M6</t>
  </si>
  <si>
    <t xml:space="preserve">LLM summarizer &amp; NL-to-filter</t>
  </si>
  <si>
    <t xml:space="preserve">Cluster of reports / authority query</t>
  </si>
  <si>
    <t xml:space="preserve">Short summary / JSON filter</t>
  </si>
  <si>
    <t xml:space="preserve">Local open LLM via Ollama with schema-constrained prompts</t>
  </si>
  <si>
    <t xml:space="preserve">n/a (zero-shot, prompt-engineered)</t>
  </si>
  <si>
    <t xml:space="preserve">Human rubric on 30 samples; schema-valid rate</t>
  </si>
  <si>
    <t xml:space="preserve">Schema-valid &gt;= 95%; no unsupported facts in rubric review</t>
  </si>
  <si>
    <t xml:space="preserve">P2/P4</t>
  </si>
  <si>
    <t xml:space="preserve">LLM policy: LLM output is advisory, schema-validated, and never auto-triggers dispatch. Classification and priority use testable models. Always show confidence and allow human override.</t>
  </si>
  <si>
    <t xml:space="preserve">Incident Priority Score: Editable Model &amp; Live Calculator</t>
  </si>
  <si>
    <t xml:space="preserve">Score (0-100) = sum of weight x normalized factor. Change blue weights; examples recalculate.</t>
  </si>
  <si>
    <t xml:space="preserve">A. WEIGHTS (must total 100)</t>
  </si>
  <si>
    <t xml:space="preserve">B. NORMALIZATION RULES</t>
  </si>
  <si>
    <t xml:space="preserve">Factor</t>
  </si>
  <si>
    <t xml:space="preserve">Weight</t>
  </si>
  <si>
    <t xml:space="preserve">Severity level</t>
  </si>
  <si>
    <t xml:space="preserve">Value</t>
  </si>
  <si>
    <t xml:space="preserve">People cap (n)</t>
  </si>
  <si>
    <t xml:space="preserve">Severity</t>
  </si>
  <si>
    <t xml:space="preserve">LOW</t>
  </si>
  <si>
    <t xml:space="preserve">Waiting cap (min)</t>
  </si>
  <si>
    <t xml:space="preserve">People affected</t>
  </si>
  <si>
    <t xml:space="preserve">MEDIUM</t>
  </si>
  <si>
    <t xml:space="preserve">People factor = MIN(people / cap, 1); Waiting factor = MIN(minutes / cap, 1); Life threat and Location risk are 0-1 inputs. Caps and weights are judgment-based assumptions: run a sensitivity check in the report.</t>
  </si>
  <si>
    <t xml:space="preserve">Life threat</t>
  </si>
  <si>
    <t xml:space="preserve">HIGH</t>
  </si>
  <si>
    <t xml:space="preserve">Resource need</t>
  </si>
  <si>
    <t xml:space="preserve">CRITICAL</t>
  </si>
  <si>
    <t xml:space="preserve">Location risk</t>
  </si>
  <si>
    <t xml:space="preserve">Waiting time</t>
  </si>
  <si>
    <t xml:space="preserve">Total (check = 100)</t>
  </si>
  <si>
    <t xml:space="preserve">C. LIVE EXAMPLES (replace with your own scenarios)</t>
  </si>
  <si>
    <t xml:space="preserve">Incident</t>
  </si>
  <si>
    <t xml:space="preserve">People</t>
  </si>
  <si>
    <t xml:space="preserve">Life threat (0-1)</t>
  </si>
  <si>
    <t xml:space="preserve">Resource need (0-1)</t>
  </si>
  <si>
    <t xml:space="preserve">Location risk (0-1)</t>
  </si>
  <si>
    <t xml:space="preserve">Waiting (min)</t>
  </si>
  <si>
    <t xml:space="preserve">Severity factor</t>
  </si>
  <si>
    <t xml:space="preserve">People factor</t>
  </si>
  <si>
    <t xml:space="preserve">Waiting factor</t>
  </si>
  <si>
    <t xml:space="preserve">Priority score</t>
  </si>
  <si>
    <t xml:space="preserve">Rank</t>
  </si>
  <si>
    <t xml:space="preserve">Road blocked by fallen trees</t>
  </si>
  <si>
    <t xml:space="preserve">Family trapped in flooded house</t>
  </si>
  <si>
    <t xml:space="preserve">Hospital needs oxygen</t>
  </si>
  <si>
    <t xml:space="preserve">Minor road damage</t>
  </si>
  <si>
    <t xml:space="preserve">Bridge collapse near market</t>
  </si>
  <si>
    <t xml:space="preserve">Explainability: store the six weighted contributions per incident so the dashboard can show why an incident ranks where it does.</t>
  </si>
  <si>
    <t xml:space="preserve">Test Strategy &amp; Acceptance Criteria</t>
  </si>
  <si>
    <t xml:space="preserve">Numeric thresholds are planning targets; record measured results in the final report.</t>
  </si>
  <si>
    <t xml:space="preserve">What is tested</t>
  </si>
  <si>
    <t xml:space="preserve">Tool</t>
  </si>
  <si>
    <t xml:space="preserve">Pass criteria</t>
  </si>
  <si>
    <t xml:space="preserve">TS-01</t>
  </si>
  <si>
    <t xml:space="preserve">Unit</t>
  </si>
  <si>
    <t xml:space="preserve">Auth, RBAC guards, validators, priority formula, allocator</t>
  </si>
  <si>
    <t xml:space="preserve">pytest + coverage</t>
  </si>
  <si>
    <t xml:space="preserve">Coverage &gt;= 80% on core modules; all role-denial cases pass</t>
  </si>
  <si>
    <t xml:space="preserve">P1-P3</t>
  </si>
  <si>
    <t xml:space="preserve">TS-02</t>
  </si>
  <si>
    <t xml:space="preserve">API / integration</t>
  </si>
  <si>
    <t xml:space="preserve">Incident lifecycle with real Postgres/Redis/RabbitMQ containers</t>
  </si>
  <si>
    <t xml:space="preserve">pytest + testcontainers/compose</t>
  </si>
  <si>
    <t xml:space="preserve">All happy and error paths return correct codes</t>
  </si>
  <si>
    <t xml:space="preserve">TS-03</t>
  </si>
  <si>
    <t xml:space="preserve">Contract</t>
  </si>
  <si>
    <t xml:space="preserve">OpenAPI schema vs implementation</t>
  </si>
  <si>
    <t xml:space="preserve">schemathesis / Dredd</t>
  </si>
  <si>
    <t xml:space="preserve">No schema violations</t>
  </si>
  <si>
    <t xml:space="preserve">TS-04</t>
  </si>
  <si>
    <t xml:space="preserve">ML evaluation</t>
  </si>
  <si>
    <t xml:space="preserve">Held-out test set; per-class metrics; calibration</t>
  </si>
  <si>
    <t xml:space="preserve">scikit-learn, MLflow</t>
  </si>
  <si>
    <t xml:space="preserve">Meets targets on AI-ML Plan sheet or documented gap analysis</t>
  </si>
  <si>
    <t xml:space="preserve">P2-P4</t>
  </si>
  <si>
    <t xml:space="preserve">TS-05</t>
  </si>
  <si>
    <t xml:space="preserve">Pipeline correctness</t>
  </si>
  <si>
    <t xml:space="preserve">Simulated flood scenario with ground truth</t>
  </si>
  <si>
    <t xml:space="preserve">Simulation harness</t>
  </si>
  <si>
    <t xml:space="preserve">Dedup + priority + allocation match expected ordering</t>
  </si>
  <si>
    <t xml:space="preserve">TS-06</t>
  </si>
  <si>
    <t xml:space="preserve">Idempotency</t>
  </si>
  <si>
    <t xml:space="preserve">Replay the same message / report twice</t>
  </si>
  <si>
    <t xml:space="preserve">pytest</t>
  </si>
  <si>
    <t xml:space="preserve">No duplicate incidents or assignments</t>
  </si>
  <si>
    <t xml:space="preserve">TS-07</t>
  </si>
  <si>
    <t xml:space="preserve">End-to-end UI</t>
  </si>
  <si>
    <t xml:space="preserve">Citizen report -&gt; authority sees -&gt; assign -&gt; rescue completes</t>
  </si>
  <si>
    <t xml:space="preserve">Playwright</t>
  </si>
  <si>
    <t xml:space="preserve">Full flow passes in CI</t>
  </si>
  <si>
    <t xml:space="preserve">P3-P5</t>
  </si>
  <si>
    <t xml:space="preserve">TS-08</t>
  </si>
  <si>
    <t xml:space="preserve">Load</t>
  </si>
  <si>
    <t xml:space="preserve">~1000 virtual users, ~10k reports burst</t>
  </si>
  <si>
    <t xml:space="preserve">Locust / k6</t>
  </si>
  <si>
    <t xml:space="preserve">Report-submit P95 latency under 500 ms (ack only, planning target); zero lost messages</t>
  </si>
  <si>
    <t xml:space="preserve">TS-09</t>
  </si>
  <si>
    <t xml:space="preserve">Queue stress</t>
  </si>
  <si>
    <t xml:space="preserve">Burst &gt; worker capacity; observe backlog drain</t>
  </si>
  <si>
    <t xml:space="preserve">Locust + RabbitMQ UI</t>
  </si>
  <si>
    <t xml:space="preserve">Backlog drains; queue lag reported; no crashes</t>
  </si>
  <si>
    <t xml:space="preserve">TS-10</t>
  </si>
  <si>
    <t xml:space="preserve">Resilience / chaos</t>
  </si>
  <si>
    <t xml:space="preserve">Kill worker, DB, broker, Redis mid-load</t>
  </si>
  <si>
    <t xml:space="preserve">docker kill / compose stop</t>
  </si>
  <si>
    <t xml:space="preserve">Auto-retry/recovery; no data loss; clear errors</t>
  </si>
  <si>
    <t xml:space="preserve">TS-11</t>
  </si>
  <si>
    <t xml:space="preserve">Security (OWASP)</t>
  </si>
  <si>
    <t xml:space="preserve">Injection, broken access control, auth, file upload, rate-limit bypass</t>
  </si>
  <si>
    <t xml:space="preserve">OWASP ZAP, manual checklist, pip-audit / npm audit</t>
  </si>
  <si>
    <t xml:space="preserve">No critical or high findings open</t>
  </si>
  <si>
    <t xml:space="preserve">TS-12</t>
  </si>
  <si>
    <t xml:space="preserve">Authorization matrix</t>
  </si>
  <si>
    <t xml:space="preserve">Every endpoint x every role</t>
  </si>
  <si>
    <t xml:space="preserve">Automated matrix test</t>
  </si>
  <si>
    <t xml:space="preserve">Matches RBAC matrix exactly</t>
  </si>
  <si>
    <t xml:space="preserve">P1-P5</t>
  </si>
  <si>
    <t xml:space="preserve">TS-13</t>
  </si>
  <si>
    <t xml:space="preserve">Performance (DB)</t>
  </si>
  <si>
    <t xml:space="preserve">Query plans for top queries</t>
  </si>
  <si>
    <t xml:space="preserve">EXPLAIN ANALYZE</t>
  </si>
  <si>
    <t xml:space="preserve">No sequential scans on hot paths at 100k rows</t>
  </si>
  <si>
    <t xml:space="preserve">TS-14</t>
  </si>
  <si>
    <t xml:space="preserve">Usability</t>
  </si>
  <si>
    <t xml:space="preserve">Walkthrough with 3-5 classmates/faculty</t>
  </si>
  <si>
    <t xml:space="preserve">Task-based observation</t>
  </si>
  <si>
    <t xml:space="preserve">Core tasks completed without help</t>
  </si>
  <si>
    <t xml:space="preserve">P4-P5</t>
  </si>
  <si>
    <t xml:space="preserve">TS-15</t>
  </si>
  <si>
    <t xml:space="preserve">Disaster demo rehearsal</t>
  </si>
  <si>
    <t xml:space="preserve">Scripted scenario on seeded data, offline</t>
  </si>
  <si>
    <t xml:space="preserve">Manual</t>
  </si>
  <si>
    <t xml:space="preserve">Runs end-to-end twice without intervention</t>
  </si>
  <si>
    <t xml:space="preserve">Risk Register</t>
  </si>
  <si>
    <t xml:space="preserve">Score = Likelihood x Impact. Rating: 15+ High, 8-14 Medium, below 8 Low. Edit blue values.</t>
  </si>
  <si>
    <t xml:space="preserve">Risk</t>
  </si>
  <si>
    <t xml:space="preserve">Likelihood (1-5)</t>
  </si>
  <si>
    <t xml:space="preserve">Impact (1-5)</t>
  </si>
  <si>
    <t xml:space="preserve">Score</t>
  </si>
  <si>
    <t xml:space="preserve">Rating</t>
  </si>
  <si>
    <t xml:space="preserve">Mitigation</t>
  </si>
  <si>
    <t xml:space="preserve">Trigger / Early Warning</t>
  </si>
  <si>
    <t xml:space="preserve">R-01</t>
  </si>
  <si>
    <t xml:space="preserve">Scope too large for timeline</t>
  </si>
  <si>
    <t xml:space="preserve">Phase gating with demos; MoSCoW; cut Could items first; Version-1 = Phases 0-3.</t>
  </si>
  <si>
    <t xml:space="preserve">Phase slips &gt; 1 week</t>
  </si>
  <si>
    <t xml:space="preserve">R-02</t>
  </si>
  <si>
    <t xml:space="preserve">Insufficient labeled data for ML</t>
  </si>
  <si>
    <t xml:space="preserve">Use public crisis datasets + synthetic generator; keep baselines simple; document limits.</t>
  </si>
  <si>
    <t xml:space="preserve">F1 far below target after baseline</t>
  </si>
  <si>
    <t xml:space="preserve">R-03</t>
  </si>
  <si>
    <t xml:space="preserve">Hardware too weak for local LLM / CV</t>
  </si>
  <si>
    <t xml:space="preserve">Pick smaller model; use CPU-friendly models; Colab free tier for training; LLM features are 'Could'.</t>
  </si>
  <si>
    <t xml:space="preserve">Inference latency &gt; 10 s</t>
  </si>
  <si>
    <t xml:space="preserve">R-04</t>
  </si>
  <si>
    <t xml:space="preserve">Geocoding rate limits / inaccurate locations</t>
  </si>
  <si>
    <t xml:space="preserve">Cache in Redis, local gazetteer fallback, allow manual pin on map.</t>
  </si>
  <si>
    <t xml:space="preserve">Frequent 429 / null coordinates</t>
  </si>
  <si>
    <t xml:space="preserve">R-05</t>
  </si>
  <si>
    <t xml:space="preserve">Duplicate threshold merges distinct incidents</t>
  </si>
  <si>
    <t xml:space="preserve">Combine similarity with geo + time; tune on labeled pairs; allow authority to unmerge.</t>
  </si>
  <si>
    <t xml:space="preserve">Authority corrections spike</t>
  </si>
  <si>
    <t xml:space="preserve">R-06</t>
  </si>
  <si>
    <t xml:space="preserve">Team availability / exams</t>
  </si>
  <si>
    <t xml:space="preserve">Buffer weeks; role redundancy; weekly sync; avoid single-owner critical tasks.</t>
  </si>
  <si>
    <t xml:space="preserve">Missed two consecutive standups</t>
  </si>
  <si>
    <t xml:space="preserve">R-07</t>
  </si>
  <si>
    <t xml:space="preserve">Integration complexity (many services)</t>
  </si>
  <si>
    <t xml:space="preserve">Docker Compose from week 2; contract-first APIs; CI integration tests.</t>
  </si>
  <si>
    <t xml:space="preserve">Works-on-my-machine reports</t>
  </si>
  <si>
    <t xml:space="preserve">R-08</t>
  </si>
  <si>
    <t xml:space="preserve">Security flaws in public reporting endpoint</t>
  </si>
  <si>
    <t xml:space="preserve">Rate limits, validation, upload checks, audit logs, ZAP scan; document remaining abuse risks.</t>
  </si>
  <si>
    <t xml:space="preserve">Spam bursts in logs</t>
  </si>
  <si>
    <t xml:space="preserve">R-09</t>
  </si>
  <si>
    <t xml:space="preserve">Free-tier hosting changes or unavailable</t>
  </si>
  <si>
    <t xml:space="preserve">Local deployment as primary; recorded demo video; compose-based portability.</t>
  </si>
  <si>
    <t xml:space="preserve">Provider quota/availability change</t>
  </si>
  <si>
    <t xml:space="preserve">R-10</t>
  </si>
  <si>
    <t xml:space="preserve">LLM hallucination in summaries</t>
  </si>
  <si>
    <t xml:space="preserve">Ground prompts in DB facts; schema validation; label output as AI-generated; human review.</t>
  </si>
  <si>
    <t xml:space="preserve">Rubric review finds unsupported claims</t>
  </si>
  <si>
    <t xml:space="preserve">R-11</t>
  </si>
  <si>
    <t xml:space="preserve">Dataset licence / terms issues</t>
  </si>
  <si>
    <t xml:space="preserve">Check licences up front; cite sources; prefer permissive datasets and synthetic data.</t>
  </si>
  <si>
    <t xml:space="preserve">Unclear licence on a dataset</t>
  </si>
  <si>
    <t xml:space="preserve">R-12</t>
  </si>
  <si>
    <t xml:space="preserve">Demo failure on evaluation day</t>
  </si>
  <si>
    <t xml:space="preserve">Seeded offline data, scripted flow, backup video, rehearsed twice, spare laptop.</t>
  </si>
  <si>
    <t xml:space="preserve">Any failure during rehearsal</t>
  </si>
  <si>
    <t xml:space="preserve">Viva Preparation: Likely Questions</t>
  </si>
  <si>
    <t xml:space="preserve">Draft answer outlines. Rehearse in your own words with real numbers from your tests.</t>
  </si>
  <si>
    <t xml:space="preserve">Likely Question</t>
  </si>
  <si>
    <t xml:space="preserve">Answer Outline</t>
  </si>
  <si>
    <t xml:space="preserve">Tip</t>
  </si>
  <si>
    <t xml:space="preserve">Why event-driven / message queue instead of direct processing?</t>
  </si>
  <si>
    <t xml:space="preserve">Bursty disaster traffic; decouple fast ingest from slow AI; retries and DLQ; worker scaling; user gets 202 immediately.</t>
  </si>
  <si>
    <t xml:space="preserve">Mention at-least-once delivery and idempotency.</t>
  </si>
  <si>
    <t xml:space="preserve">Why not microservices for everything?</t>
  </si>
  <si>
    <t xml:space="preserve">Modular monolith + workers gives clean boundaries with lower ops cost for a small team; modules can be split later.</t>
  </si>
  <si>
    <t xml:space="preserve">Show module boundaries in HLD.</t>
  </si>
  <si>
    <t xml:space="preserve">How do you detect duplicate reports?</t>
  </si>
  <si>
    <t xml:space="preserve">Multilingual embeddings + cosine similarity + geo-radius + time window; threshold tuned on labeled pairs; authority can unmerge.</t>
  </si>
  <si>
    <t xml:space="preserve">Quote precision/recall from tuning report.</t>
  </si>
  <si>
    <t xml:space="preserve">How is priority computed? Why trust it?</t>
  </si>
  <si>
    <t xml:space="preserve">Transparent weighted score with per-factor breakdown; weights configurable; sensitivity analysis; human approval for dispatch.</t>
  </si>
  <si>
    <t xml:space="preserve">Open the Priority Model sheet logic.</t>
  </si>
  <si>
    <t xml:space="preserve">How is resource allocation optimal?</t>
  </si>
  <si>
    <t xml:space="preserve">Cost matrix (distance) solved with Hungarian algorithm; constraints on type and availability; deterministic and tested.</t>
  </si>
  <si>
    <t xml:space="preserve">State limitation: no live traffic.</t>
  </si>
  <si>
    <t xml:space="preserve">Where does the LLM fit, and what if it hallucinates?</t>
  </si>
  <si>
    <t xml:space="preserve">Only summaries and NL-to-filter; grounded in DB facts; schema-validated; advisory; never auto-dispatches.</t>
  </si>
  <si>
    <t xml:space="preserve">Contrast with testable classical models.</t>
  </si>
  <si>
    <t xml:space="preserve">What if the AI misclassifies a critical case?</t>
  </si>
  <si>
    <t xml:space="preserve">Confidence shown; low-confidence routed for review; CRITICAL recall prioritized; authority override logged and used for retraining.</t>
  </si>
  <si>
    <t xml:space="preserve">Cite CRITICAL recall result.</t>
  </si>
  <si>
    <t xml:space="preserve">How do you handle security?</t>
  </si>
  <si>
    <t xml:space="preserve">JWT with refresh, argon2/bcrypt, deny-by-default RBAC, rate limits, upload validation, audit logs, OWASP/ZAP testing.</t>
  </si>
  <si>
    <t xml:space="preserve">Mention remaining abuse risk of public reporting.</t>
  </si>
  <si>
    <t xml:space="preserve">How does it scale?</t>
  </si>
  <si>
    <t xml:space="preserve">Stateless API replicas, queue buffering, worker scaling, Redis cache, DB indexing; load-test numbers as evidence.</t>
  </si>
  <si>
    <t xml:space="preserve">Show Grafana screenshots.</t>
  </si>
  <si>
    <t xml:space="preserve">What is the CAP / consistency trade-off?</t>
  </si>
  <si>
    <t xml:space="preserve">Eventual consistency for AI-enriched fields; strong consistency for core transactions in PostgreSQL.</t>
  </si>
  <si>
    <t xml:space="preserve">Explain 'processing' UI state.</t>
  </si>
  <si>
    <t xml:space="preserve">How did you evaluate the ML models?</t>
  </si>
  <si>
    <t xml:space="preserve">Held-out test set, macro-F1, per-class recall, confusion matrix, calibration; real vs synthetic data caveat.</t>
  </si>
  <si>
    <t xml:space="preserve">Be honest about dataset limits.</t>
  </si>
  <si>
    <t xml:space="preserve">How is it different from existing tools?</t>
  </si>
  <si>
    <t xml:space="preserve">Combines automated triage, deduplication, explainable prioritization and allocation recommendations in one open-source stack.</t>
  </si>
  <si>
    <t xml:space="preserve">Reference literature survey gaps.</t>
  </si>
  <si>
    <t xml:space="preserve">What are the limitations and future work?</t>
  </si>
  <si>
    <t xml:space="preserve">Public-endpoint abuse controls, road-network routing, SMS/WhatsApp ingest, larger real datasets, multi-city deployment.</t>
  </si>
  <si>
    <t xml:space="preserve">Shows maturity.</t>
  </si>
  <si>
    <t xml:space="preserve">How did you make this INR 0?</t>
  </si>
  <si>
    <t xml:space="preserve">Open-source stack, local LLM/embeddings, OpenStreetMap, free CI, local/free-tier hosting.</t>
  </si>
  <si>
    <t xml:space="preserve">Point to Tech Stack sheet.</t>
  </si>
  <si>
    <t xml:space="preserve">What did you personally build/own?</t>
  </si>
  <si>
    <t xml:space="preserve">Prepare a per-member ownership list tied to Task Plan Assignee column.</t>
  </si>
  <si>
    <t xml:space="preserve">Keep consistent with commit history.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</si>
</sst>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\-mmm\-yyyy"/>
    <numFmt numFmtId="166" formatCode="0"/>
    <numFmt numFmtId="167" formatCode="0.0%"/>
    <numFmt numFmtId="168" formatCode="0.0"/>
    <numFmt numFmtId="169" formatCode="#,##0"/>
    <numFmt numFmtId="170" formatCode="0%"/>
    <numFmt numFmtId="171" formatCode="@"/>
    <numFmt numFmtId="172" formatCode="dd\-mmm\-yy"/>
    <numFmt numFmtId="173" formatCode="General"/>
    <numFmt numFmtId="174" formatCode="dd\-mmm"/>
    <numFmt numFmtId="17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0E7C8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AF1FB"/>
      </patternFill>
    </fill>
    <fill>
      <patternFill patternType="solid">
        <fgColor rgb="FFEAF1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2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8FAADC"/>
        </patternFill>
      </fill>
    </dxf>
    <dxf>
      <fill>
        <patternFill>
          <bgColor rgb="FF5B9BD5"/>
        </patternFill>
      </fill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ED7D31"/>
        </patternFill>
      </fill>
    </dxf>
    <dxf>
      <fill>
        <patternFill>
          <bgColor rgb="FFA5A5A5"/>
        </patternFill>
      </fill>
    </dxf>
    <dxf>
      <fill>
        <patternFill>
          <bgColor rgb="FF7030A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BFBFBF"/>
      <rgbColor rgb="FF7F7F7F"/>
      <rgbColor rgb="FF8FAADC"/>
      <rgbColor rgb="FF7030A0"/>
      <rgbColor rgb="FFF2F2F2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5B9BD5"/>
      <rgbColor rgb="FF99CC00"/>
      <rgbColor rgb="FFFFC000"/>
      <rgbColor rgb="FFFF9900"/>
      <rgbColor rgb="FFED7D31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isaster_Response_Implementation_Plan.xlsx" TargetMode="External"/><Relationship Id="rId2" Type="http://schemas.openxmlformats.org/officeDocument/2006/relationships/hyperlink" Target="Disaster_Response_Implementation_Plan.xlsx" TargetMode="External"/><Relationship Id="rId3" Type="http://schemas.openxmlformats.org/officeDocument/2006/relationships/hyperlink" Target="Disaster_Response_Implementation_Plan.xlsx" TargetMode="External"/><Relationship Id="rId4" Type="http://schemas.openxmlformats.org/officeDocument/2006/relationships/hyperlink" Target="Disaster_Response_Implementation_Plan.xlsx" TargetMode="External"/><Relationship Id="rId5" Type="http://schemas.openxmlformats.org/officeDocument/2006/relationships/hyperlink" Target="Disaster_Response_Implementation_Plan.xlsx" TargetMode="External"/><Relationship Id="rId6" Type="http://schemas.openxmlformats.org/officeDocument/2006/relationships/hyperlink" Target="Disaster_Response_Implementation_Plan.xlsx" TargetMode="External"/><Relationship Id="rId7" Type="http://schemas.openxmlformats.org/officeDocument/2006/relationships/hyperlink" Target="Disaster_Response_Implementation_Plan.xlsx" TargetMode="External"/><Relationship Id="rId8" Type="http://schemas.openxmlformats.org/officeDocument/2006/relationships/hyperlink" Target="Disaster_Response_Implementation_Plan.xlsx" TargetMode="External"/><Relationship Id="rId9" Type="http://schemas.openxmlformats.org/officeDocument/2006/relationships/hyperlink" Target="Disaster_Response_Implementation_Plan.xlsx" TargetMode="External"/><Relationship Id="rId10" Type="http://schemas.openxmlformats.org/officeDocument/2006/relationships/hyperlink" Target="Disaster_Response_Implementation_Plan.xlsx" TargetMode="External"/><Relationship Id="rId11" Type="http://schemas.openxmlformats.org/officeDocument/2006/relationships/hyperlink" Target="Disaster_Response_Implementation_Plan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F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9.5" hidden="false" customHeight="true" outlineLevel="0" collapsed="false">
      <c r="A4" s="3" t="s">
        <v>2</v>
      </c>
      <c r="B4" s="4"/>
      <c r="C4" s="4"/>
      <c r="D4" s="4"/>
      <c r="E4" s="4"/>
      <c r="F4" s="4"/>
    </row>
    <row r="5" customFormat="false" ht="18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</row>
    <row r="6" customFormat="false" ht="43.5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</row>
    <row r="7" customFormat="false" ht="43.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</row>
    <row r="9" customFormat="false" ht="19.5" hidden="false" customHeight="true" outlineLevel="0" collapsed="false">
      <c r="A9" s="3" t="s">
        <v>9</v>
      </c>
      <c r="B9" s="4"/>
      <c r="C9" s="4"/>
      <c r="D9" s="4"/>
      <c r="E9" s="4"/>
      <c r="F9" s="4"/>
    </row>
    <row r="10" customFormat="false" ht="15" hidden="false" customHeight="false" outlineLevel="0" collapsed="false">
      <c r="A10" s="7" t="s">
        <v>10</v>
      </c>
      <c r="B10" s="8" t="n">
        <v>46314</v>
      </c>
      <c r="C10" s="2" t="s">
        <v>11</v>
      </c>
      <c r="D10" s="2"/>
      <c r="E10" s="2"/>
      <c r="F10" s="2"/>
    </row>
    <row r="11" customFormat="false" ht="15" hidden="false" customHeight="false" outlineLevel="0" collapsed="false">
      <c r="A11" s="7" t="s">
        <v>12</v>
      </c>
      <c r="B11" s="9" t="n">
        <v>4</v>
      </c>
      <c r="C11" s="2" t="s">
        <v>13</v>
      </c>
      <c r="D11" s="2"/>
      <c r="E11" s="2"/>
      <c r="F11" s="2"/>
    </row>
    <row r="12" customFormat="false" ht="15" hidden="false" customHeight="false" outlineLevel="0" collapsed="false">
      <c r="A12" s="7" t="s">
        <v>14</v>
      </c>
      <c r="B12" s="9" t="n">
        <v>15</v>
      </c>
      <c r="C12" s="2" t="s">
        <v>15</v>
      </c>
      <c r="D12" s="2"/>
      <c r="E12" s="2"/>
      <c r="F12" s="2"/>
    </row>
    <row r="14" customFormat="false" ht="19.5" hidden="false" customHeight="true" outlineLevel="0" collapsed="false">
      <c r="A14" s="3" t="s">
        <v>16</v>
      </c>
      <c r="B14" s="4"/>
      <c r="C14" s="4"/>
      <c r="D14" s="4"/>
      <c r="E14" s="4"/>
      <c r="F14" s="4"/>
    </row>
    <row r="15" customFormat="false" ht="15" hidden="false" customHeight="false" outlineLevel="0" collapsed="false">
      <c r="A15" s="7" t="s">
        <v>17</v>
      </c>
      <c r="B15" s="10" t="n">
        <f aca="false">COUNTA('Task Plan'!A5:A200)</f>
        <v>75</v>
      </c>
      <c r="C15" s="2" t="s">
        <v>18</v>
      </c>
      <c r="D15" s="2"/>
      <c r="E15" s="2"/>
      <c r="F15" s="2"/>
    </row>
    <row r="16" customFormat="false" ht="15" hidden="false" customHeight="false" outlineLevel="0" collapsed="false">
      <c r="A16" s="7" t="s">
        <v>19</v>
      </c>
      <c r="B16" s="10" t="n">
        <f aca="false">COUNTIF('Task Plan'!O5:O200,"Done")</f>
        <v>0</v>
      </c>
      <c r="C16" s="2" t="s">
        <v>20</v>
      </c>
      <c r="D16" s="2"/>
      <c r="E16" s="2"/>
      <c r="F16" s="2"/>
    </row>
    <row r="17" customFormat="false" ht="15" hidden="false" customHeight="false" outlineLevel="0" collapsed="false">
      <c r="A17" s="7" t="s">
        <v>21</v>
      </c>
      <c r="B17" s="10" t="n">
        <f aca="false">COUNTIF('Task Plan'!O5:O200,"Blocked")</f>
        <v>0</v>
      </c>
      <c r="C17" s="2" t="s">
        <v>22</v>
      </c>
      <c r="D17" s="2"/>
      <c r="E17" s="2"/>
      <c r="F17" s="2"/>
    </row>
    <row r="18" customFormat="false" ht="15" hidden="false" customHeight="false" outlineLevel="0" collapsed="false">
      <c r="A18" s="7" t="s">
        <v>23</v>
      </c>
      <c r="B18" s="11" t="n">
        <f aca="false">IFERROR(SUMPRODUCT('Task Plan'!I5:I200,'Task Plan'!P5:P200)/SUM('Task Plan'!I5:I200),0)</f>
        <v>0</v>
      </c>
      <c r="C18" s="2" t="s">
        <v>24</v>
      </c>
      <c r="D18" s="2"/>
      <c r="E18" s="2"/>
      <c r="F18" s="2"/>
    </row>
    <row r="19" customFormat="false" ht="15" hidden="false" customHeight="false" outlineLevel="0" collapsed="false">
      <c r="A19" s="7" t="s">
        <v>25</v>
      </c>
      <c r="B19" s="12" t="n">
        <f aca="false">MAX('Task Plan'!M5:M200)</f>
        <v>46426</v>
      </c>
      <c r="C19" s="2" t="s">
        <v>26</v>
      </c>
      <c r="D19" s="2"/>
      <c r="E19" s="2"/>
      <c r="F19" s="2"/>
    </row>
    <row r="20" customFormat="false" ht="15" hidden="false" customHeight="false" outlineLevel="0" collapsed="false">
      <c r="A20" s="7" t="s">
        <v>27</v>
      </c>
      <c r="B20" s="13" t="n">
        <f aca="false">ROUND((B19-Overview!$B$10+1)/7,1)</f>
        <v>16.1</v>
      </c>
      <c r="C20" s="2" t="s">
        <v>28</v>
      </c>
      <c r="D20" s="2"/>
      <c r="E20" s="2"/>
      <c r="F20" s="2"/>
    </row>
    <row r="21" customFormat="false" ht="15" hidden="false" customHeight="false" outlineLevel="0" collapsed="false">
      <c r="A21" s="7" t="s">
        <v>29</v>
      </c>
      <c r="B21" s="10" t="n">
        <f aca="true">MAX(0,B19-TODAY())</f>
        <v>118</v>
      </c>
      <c r="C21" s="2" t="s">
        <v>30</v>
      </c>
      <c r="D21" s="2"/>
      <c r="E21" s="2"/>
      <c r="F21" s="2"/>
    </row>
    <row r="22" customFormat="false" ht="15" hidden="false" customHeight="false" outlineLevel="0" collapsed="false">
      <c r="A22" s="7" t="s">
        <v>31</v>
      </c>
      <c r="B22" s="14" t="n">
        <f aca="false">SUM('Task Plan'!I5:I200)</f>
        <v>842</v>
      </c>
      <c r="C22" s="2" t="s">
        <v>32</v>
      </c>
      <c r="D22" s="2"/>
      <c r="E22" s="2"/>
      <c r="F22" s="2"/>
    </row>
    <row r="23" customFormat="false" ht="15" hidden="false" customHeight="false" outlineLevel="0" collapsed="false">
      <c r="A23" s="7" t="s">
        <v>33</v>
      </c>
      <c r="B23" s="14" t="n">
        <f aca="false">B11*B12*B20</f>
        <v>966</v>
      </c>
      <c r="C23" s="2" t="s">
        <v>34</v>
      </c>
      <c r="D23" s="2"/>
      <c r="E23" s="2"/>
      <c r="F23" s="2"/>
    </row>
    <row r="24" customFormat="false" ht="15" hidden="false" customHeight="false" outlineLevel="0" collapsed="false">
      <c r="A24" s="7" t="s">
        <v>35</v>
      </c>
      <c r="B24" s="15" t="n">
        <f aca="false">IFERROR(B22/B23,0)</f>
        <v>0.871635610766046</v>
      </c>
      <c r="C24" s="2" t="s">
        <v>36</v>
      </c>
      <c r="D24" s="2"/>
      <c r="E24" s="2"/>
      <c r="F24" s="2"/>
    </row>
    <row r="25" customFormat="false" ht="15" hidden="false" customHeight="false" outlineLevel="0" collapsed="false">
      <c r="A25" s="7" t="s">
        <v>37</v>
      </c>
      <c r="B25" s="14" t="n">
        <f aca="false">SUMIF('Task Plan'!H5:H200,"Must",'Task Plan'!I5:I200)</f>
        <v>644</v>
      </c>
      <c r="C25" s="2" t="s">
        <v>38</v>
      </c>
      <c r="D25" s="2"/>
      <c r="E25" s="2"/>
      <c r="F25" s="2"/>
    </row>
    <row r="26" customFormat="false" ht="15" hidden="false" customHeight="false" outlineLevel="0" collapsed="false">
      <c r="A26" s="7" t="s">
        <v>39</v>
      </c>
      <c r="B26" s="15" t="n">
        <f aca="false">IFERROR(B25/B23,0)</f>
        <v>0.666666666666667</v>
      </c>
      <c r="C26" s="2" t="s">
        <v>40</v>
      </c>
      <c r="D26" s="2"/>
      <c r="E26" s="2"/>
      <c r="F26" s="2"/>
    </row>
    <row r="27" customFormat="false" ht="15" hidden="false" customHeight="false" outlineLevel="0" collapsed="false">
      <c r="A27" s="7" t="s">
        <v>41</v>
      </c>
      <c r="B27" s="16" t="str">
        <f aca="false">IF(B24&lt;=1,"On track: full scope fits",IF(B26&lt;=1,"Tight: drop Could/Should items","At risk: reduce scope or add hours"))</f>
        <v>On track: full scope fits</v>
      </c>
      <c r="C27" s="16"/>
      <c r="D27" s="16"/>
      <c r="E27" s="17" t="s">
        <v>42</v>
      </c>
    </row>
    <row r="29" customFormat="false" ht="19.5" hidden="false" customHeight="true" outlineLevel="0" collapsed="false">
      <c r="A29" s="3" t="s">
        <v>43</v>
      </c>
      <c r="B29" s="4"/>
      <c r="C29" s="4"/>
      <c r="D29" s="4"/>
      <c r="E29" s="4"/>
      <c r="F29" s="4"/>
    </row>
    <row r="30" customFormat="false" ht="15" hidden="false" customHeight="false" outlineLevel="0" collapsed="false">
      <c r="A30" s="18" t="s">
        <v>44</v>
      </c>
      <c r="B30" s="19" t="s">
        <v>45</v>
      </c>
      <c r="C30" s="19"/>
      <c r="D30" s="19"/>
      <c r="E30" s="19"/>
      <c r="F30" s="19"/>
    </row>
    <row r="31" customFormat="false" ht="15" hidden="false" customHeight="false" outlineLevel="0" collapsed="false">
      <c r="A31" s="18" t="s">
        <v>46</v>
      </c>
      <c r="B31" s="19" t="s">
        <v>47</v>
      </c>
      <c r="C31" s="19"/>
      <c r="D31" s="19"/>
      <c r="E31" s="19"/>
      <c r="F31" s="19"/>
    </row>
    <row r="32" customFormat="false" ht="15" hidden="false" customHeight="false" outlineLevel="0" collapsed="false">
      <c r="A32" s="18" t="s">
        <v>48</v>
      </c>
      <c r="B32" s="19" t="s">
        <v>49</v>
      </c>
      <c r="C32" s="19"/>
      <c r="D32" s="19"/>
      <c r="E32" s="19"/>
      <c r="F32" s="19"/>
    </row>
    <row r="33" customFormat="false" ht="15" hidden="false" customHeight="false" outlineLevel="0" collapsed="false">
      <c r="A33" s="18" t="s">
        <v>50</v>
      </c>
      <c r="B33" s="19" t="s">
        <v>51</v>
      </c>
      <c r="C33" s="19"/>
      <c r="D33" s="19"/>
      <c r="E33" s="19"/>
      <c r="F33" s="19"/>
    </row>
    <row r="34" customFormat="false" ht="15" hidden="false" customHeight="false" outlineLevel="0" collapsed="false">
      <c r="A34" s="18" t="s">
        <v>52</v>
      </c>
      <c r="B34" s="19" t="s">
        <v>53</v>
      </c>
      <c r="C34" s="19"/>
      <c r="D34" s="19"/>
      <c r="E34" s="19"/>
      <c r="F34" s="19"/>
    </row>
    <row r="35" customFormat="false" ht="15" hidden="false" customHeight="false" outlineLevel="0" collapsed="false">
      <c r="A35" s="18" t="s">
        <v>54</v>
      </c>
      <c r="B35" s="19" t="s">
        <v>55</v>
      </c>
      <c r="C35" s="19"/>
      <c r="D35" s="19"/>
      <c r="E35" s="19"/>
      <c r="F35" s="19"/>
    </row>
    <row r="36" customFormat="false" ht="15" hidden="false" customHeight="false" outlineLevel="0" collapsed="false">
      <c r="A36" s="18" t="s">
        <v>56</v>
      </c>
      <c r="B36" s="19" t="s">
        <v>57</v>
      </c>
      <c r="C36" s="19"/>
      <c r="D36" s="19"/>
      <c r="E36" s="19"/>
      <c r="F36" s="19"/>
    </row>
    <row r="37" customFormat="false" ht="15" hidden="false" customHeight="false" outlineLevel="0" collapsed="false">
      <c r="A37" s="18" t="s">
        <v>58</v>
      </c>
      <c r="B37" s="19" t="s">
        <v>59</v>
      </c>
      <c r="C37" s="19"/>
      <c r="D37" s="19"/>
      <c r="E37" s="19"/>
      <c r="F37" s="19"/>
    </row>
    <row r="38" customFormat="false" ht="15" hidden="false" customHeight="false" outlineLevel="0" collapsed="false">
      <c r="A38" s="18" t="s">
        <v>60</v>
      </c>
      <c r="B38" s="19" t="s">
        <v>61</v>
      </c>
      <c r="C38" s="19"/>
      <c r="D38" s="19"/>
      <c r="E38" s="19"/>
      <c r="F38" s="19"/>
    </row>
    <row r="39" customFormat="false" ht="15" hidden="false" customHeight="false" outlineLevel="0" collapsed="false">
      <c r="A39" s="18" t="s">
        <v>62</v>
      </c>
      <c r="B39" s="19" t="s">
        <v>63</v>
      </c>
      <c r="C39" s="19"/>
      <c r="D39" s="19"/>
      <c r="E39" s="19"/>
      <c r="F39" s="19"/>
    </row>
    <row r="40" customFormat="false" ht="15" hidden="false" customHeight="false" outlineLevel="0" collapsed="false">
      <c r="A40" s="18" t="s">
        <v>64</v>
      </c>
      <c r="B40" s="19" t="s">
        <v>65</v>
      </c>
      <c r="C40" s="19"/>
      <c r="D40" s="19"/>
      <c r="E40" s="19"/>
      <c r="F40" s="19"/>
    </row>
    <row r="42" customFormat="false" ht="15" hidden="false" customHeight="false" outlineLevel="0" collapsed="false">
      <c r="A42" s="7" t="s">
        <v>66</v>
      </c>
      <c r="B42" s="2" t="s">
        <v>67</v>
      </c>
      <c r="C42" s="2"/>
      <c r="D42" s="2"/>
      <c r="E42" s="2"/>
      <c r="F42" s="2"/>
    </row>
  </sheetData>
  <mergeCells count="33">
    <mergeCell ref="A1:F1"/>
    <mergeCell ref="A2:F2"/>
    <mergeCell ref="B5:F5"/>
    <mergeCell ref="B6:F6"/>
    <mergeCell ref="B7:F7"/>
    <mergeCell ref="C10:F10"/>
    <mergeCell ref="C11:F11"/>
    <mergeCell ref="C12:F12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B27:D27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2:F42"/>
  </mergeCells>
  <conditionalFormatting sqref="B27">
    <cfRule type="expression" priority="2" aboveAverage="0" equalAverage="0" bottom="0" percent="0" rank="0" text="" dxfId="0">
      <formula>LEFT($B$27,2)="On"</formula>
    </cfRule>
    <cfRule type="expression" priority="3" aboveAverage="0" equalAverage="0" bottom="0" percent="0" rank="0" text="" dxfId="1">
      <formula>LEFT($B$27,2)="Ti"</formula>
    </cfRule>
    <cfRule type="expression" priority="4" aboveAverage="0" equalAverage="0" bottom="0" percent="0" rank="0" text="" dxfId="2">
      <formula>LEFT($B$27,2)="At"</formula>
    </cfRule>
  </conditionalFormatting>
  <hyperlinks>
    <hyperlink ref="A30" r:id="rId1" location="'Roadmap'!A1" display="Roadmap"/>
    <hyperlink ref="A31" r:id="rId2" location="'Task%20Plan'!A1" display="Task Plan"/>
    <hyperlink ref="A32" r:id="rId3" location="'Tech%20Stack'!A1" display="Tech Stack"/>
    <hyperlink ref="A33" r:id="rId4" location="'Architecture'!A1" display="Architecture"/>
    <hyperlink ref="A34" r:id="rId5" location="'Database'!A1" display="Database"/>
    <hyperlink ref="A35" r:id="rId6" location="'API%20Design'!A1" display="API Design"/>
    <hyperlink ref="A36" r:id="rId7" location="'AI-ML%20Plan'!A1" display="AI-ML Plan"/>
    <hyperlink ref="A37" r:id="rId8" location="'Priority%20Model'!A1" display="Priority Model"/>
    <hyperlink ref="A38" r:id="rId9" location="'Testing'!A1" display="Testing"/>
    <hyperlink ref="A39" r:id="rId10" location="'Risks'!A1" display="Risks"/>
    <hyperlink ref="A40" r:id="rId11" location="'Viva%20Prep'!A1" display="Viva Pre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9" min="8" style="0" width="8"/>
    <col collapsed="false" customWidth="true" hidden="false" outlineLevel="0" max="11" min="10" style="0" width="10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20" t="s">
        <v>70</v>
      </c>
      <c r="B4" s="20" t="s">
        <v>71</v>
      </c>
      <c r="C4" s="20" t="s">
        <v>72</v>
      </c>
      <c r="D4" s="20" t="s">
        <v>73</v>
      </c>
      <c r="E4" s="20" t="s">
        <v>74</v>
      </c>
      <c r="F4" s="20" t="s">
        <v>75</v>
      </c>
      <c r="G4" s="20" t="s">
        <v>76</v>
      </c>
      <c r="H4" s="20" t="s">
        <v>77</v>
      </c>
      <c r="I4" s="20" t="s">
        <v>78</v>
      </c>
      <c r="J4" s="20" t="s">
        <v>79</v>
      </c>
      <c r="K4" s="20" t="s">
        <v>80</v>
      </c>
      <c r="L4" s="20" t="s">
        <v>81</v>
      </c>
    </row>
    <row r="5" customFormat="false" ht="30" hidden="false" customHeight="true" outlineLevel="0" collapsed="false">
      <c r="A5" s="21" t="s">
        <v>82</v>
      </c>
      <c r="B5" s="22" t="s">
        <v>83</v>
      </c>
      <c r="C5" s="22" t="s">
        <v>84</v>
      </c>
      <c r="D5" s="22" t="s">
        <v>85</v>
      </c>
      <c r="E5" s="22" t="s">
        <v>86</v>
      </c>
      <c r="F5" s="23" t="n">
        <f aca="false">_xlfn.MINIFS('Task Plan'!$L$5:$L$200,'Task Plan'!$B$5:$B$200,A5)</f>
        <v>46314</v>
      </c>
      <c r="G5" s="23" t="n">
        <f aca="false">_xlfn.MAXIFS('Task Plan'!$M$5:$M$200,'Task Plan'!$B$5:$B$200,A5)</f>
        <v>46327</v>
      </c>
      <c r="H5" s="24" t="n">
        <f aca="false">ROUND((G5-F5+1)/7,1)</f>
        <v>2</v>
      </c>
      <c r="I5" s="24" t="n">
        <f aca="false">COUNTIF('Task Plan'!$B$5:$B$200,A5)</f>
        <v>10</v>
      </c>
      <c r="J5" s="24" t="n">
        <f aca="false">SUMIF('Task Plan'!$B$5:$B$200,A5,'Task Plan'!$I$5:$I$200)</f>
        <v>92</v>
      </c>
      <c r="K5" s="25" t="n">
        <f aca="false">IFERROR(SUMPRODUCT(('Task Plan'!$B$5:$B$200=A5)*'Task Plan'!$I$5:$I$200*'Task Plan'!$P$5:$P$200)/J5,0)</f>
        <v>0</v>
      </c>
      <c r="L5" s="24" t="str">
        <f aca="false">IF(K5&gt;=1,"Complete",IF(K5&gt;0,"In Progress","Not Started"))</f>
        <v>Not Started</v>
      </c>
    </row>
    <row r="6" customFormat="false" ht="30" hidden="false" customHeight="true" outlineLevel="0" collapsed="false">
      <c r="A6" s="26" t="s">
        <v>87</v>
      </c>
      <c r="B6" s="27" t="s">
        <v>88</v>
      </c>
      <c r="C6" s="27" t="s">
        <v>89</v>
      </c>
      <c r="D6" s="27" t="s">
        <v>90</v>
      </c>
      <c r="E6" s="27" t="s">
        <v>91</v>
      </c>
      <c r="F6" s="28" t="n">
        <f aca="false">_xlfn.MINIFS('Task Plan'!$L$5:$L$200,'Task Plan'!$B$5:$B$200,A6)</f>
        <v>46328</v>
      </c>
      <c r="G6" s="28" t="n">
        <f aca="false">_xlfn.MAXIFS('Task Plan'!$M$5:$M$200,'Task Plan'!$B$5:$B$200,A6)</f>
        <v>46349</v>
      </c>
      <c r="H6" s="29" t="n">
        <f aca="false">ROUND((G6-F6+1)/7,1)</f>
        <v>3.1</v>
      </c>
      <c r="I6" s="29" t="n">
        <f aca="false">COUNTIF('Task Plan'!$B$5:$B$200,A6)</f>
        <v>14</v>
      </c>
      <c r="J6" s="29" t="n">
        <f aca="false">SUMIF('Task Plan'!$B$5:$B$200,A6,'Task Plan'!$I$5:$I$200)</f>
        <v>154</v>
      </c>
      <c r="K6" s="30" t="n">
        <f aca="false">IFERROR(SUMPRODUCT(('Task Plan'!$B$5:$B$200=A6)*'Task Plan'!$I$5:$I$200*'Task Plan'!$P$5:$P$200)/J6,0)</f>
        <v>0</v>
      </c>
      <c r="L6" s="29" t="str">
        <f aca="false">IF(K6&gt;=1,"Complete",IF(K6&gt;0,"In Progress","Not Started"))</f>
        <v>Not Started</v>
      </c>
    </row>
    <row r="7" customFormat="false" ht="30" hidden="false" customHeight="true" outlineLevel="0" collapsed="false">
      <c r="A7" s="21" t="s">
        <v>92</v>
      </c>
      <c r="B7" s="22" t="s">
        <v>93</v>
      </c>
      <c r="C7" s="22" t="s">
        <v>94</v>
      </c>
      <c r="D7" s="22" t="s">
        <v>95</v>
      </c>
      <c r="E7" s="22" t="s">
        <v>96</v>
      </c>
      <c r="F7" s="23" t="n">
        <f aca="false">_xlfn.MINIFS('Task Plan'!$L$5:$L$200,'Task Plan'!$B$5:$B$200,A7)</f>
        <v>46349</v>
      </c>
      <c r="G7" s="23" t="n">
        <f aca="false">_xlfn.MAXIFS('Task Plan'!$M$5:$M$200,'Task Plan'!$B$5:$B$200,A7)</f>
        <v>46370</v>
      </c>
      <c r="H7" s="24" t="n">
        <f aca="false">ROUND((G7-F7+1)/7,1)</f>
        <v>3.1</v>
      </c>
      <c r="I7" s="24" t="n">
        <f aca="false">COUNTIF('Task Plan'!$B$5:$B$200,A7)</f>
        <v>12</v>
      </c>
      <c r="J7" s="24" t="n">
        <f aca="false">SUMIF('Task Plan'!$B$5:$B$200,A7,'Task Plan'!$I$5:$I$200)</f>
        <v>148</v>
      </c>
      <c r="K7" s="25" t="n">
        <f aca="false">IFERROR(SUMPRODUCT(('Task Plan'!$B$5:$B$200=A7)*'Task Plan'!$I$5:$I$200*'Task Plan'!$P$5:$P$200)/J7,0)</f>
        <v>0</v>
      </c>
      <c r="L7" s="24" t="str">
        <f aca="false">IF(K7&gt;=1,"Complete",IF(K7&gt;0,"In Progress","Not Started"))</f>
        <v>Not Started</v>
      </c>
    </row>
    <row r="8" customFormat="false" ht="30" hidden="false" customHeight="true" outlineLevel="0" collapsed="false">
      <c r="A8" s="26" t="s">
        <v>97</v>
      </c>
      <c r="B8" s="27" t="s">
        <v>98</v>
      </c>
      <c r="C8" s="27" t="s">
        <v>99</v>
      </c>
      <c r="D8" s="27" t="s">
        <v>100</v>
      </c>
      <c r="E8" s="27" t="s">
        <v>101</v>
      </c>
      <c r="F8" s="28" t="n">
        <f aca="false">_xlfn.MINIFS('Task Plan'!$L$5:$L$200,'Task Plan'!$B$5:$B$200,A8)</f>
        <v>46370</v>
      </c>
      <c r="G8" s="28" t="n">
        <f aca="false">_xlfn.MAXIFS('Task Plan'!$M$5:$M$200,'Task Plan'!$B$5:$B$200,A8)</f>
        <v>46394</v>
      </c>
      <c r="H8" s="29" t="n">
        <f aca="false">ROUND((G8-F8+1)/7,1)</f>
        <v>3.6</v>
      </c>
      <c r="I8" s="29" t="n">
        <f aca="false">COUNTIF('Task Plan'!$B$5:$B$200,A8)</f>
        <v>12</v>
      </c>
      <c r="J8" s="29" t="n">
        <f aca="false">SUMIF('Task Plan'!$B$5:$B$200,A8,'Task Plan'!$I$5:$I$200)</f>
        <v>142</v>
      </c>
      <c r="K8" s="30" t="n">
        <f aca="false">IFERROR(SUMPRODUCT(('Task Plan'!$B$5:$B$200=A8)*'Task Plan'!$I$5:$I$200*'Task Plan'!$P$5:$P$200)/J8,0)</f>
        <v>0</v>
      </c>
      <c r="L8" s="29" t="str">
        <f aca="false">IF(K8&gt;=1,"Complete",IF(K8&gt;0,"In Progress","Not Started"))</f>
        <v>Not Started</v>
      </c>
    </row>
    <row r="9" customFormat="false" ht="30" hidden="false" customHeight="true" outlineLevel="0" collapsed="false">
      <c r="A9" s="21" t="s">
        <v>102</v>
      </c>
      <c r="B9" s="22" t="s">
        <v>103</v>
      </c>
      <c r="C9" s="22" t="s">
        <v>104</v>
      </c>
      <c r="D9" s="22" t="s">
        <v>105</v>
      </c>
      <c r="E9" s="22" t="s">
        <v>106</v>
      </c>
      <c r="F9" s="23" t="n">
        <f aca="false">_xlfn.MINIFS('Task Plan'!$L$5:$L$200,'Task Plan'!$B$5:$B$200,A9)</f>
        <v>46391</v>
      </c>
      <c r="G9" s="23" t="n">
        <f aca="false">_xlfn.MAXIFS('Task Plan'!$M$5:$M$200,'Task Plan'!$B$5:$B$200,A9)</f>
        <v>46405</v>
      </c>
      <c r="H9" s="24" t="n">
        <f aca="false">ROUND((G9-F9+1)/7,1)</f>
        <v>2.1</v>
      </c>
      <c r="I9" s="24" t="n">
        <f aca="false">COUNTIF('Task Plan'!$B$5:$B$200,A9)</f>
        <v>9</v>
      </c>
      <c r="J9" s="24" t="n">
        <f aca="false">SUMIF('Task Plan'!$B$5:$B$200,A9,'Task Plan'!$I$5:$I$200)</f>
        <v>106</v>
      </c>
      <c r="K9" s="25" t="n">
        <f aca="false">IFERROR(SUMPRODUCT(('Task Plan'!$B$5:$B$200=A9)*'Task Plan'!$I$5:$I$200*'Task Plan'!$P$5:$P$200)/J9,0)</f>
        <v>0</v>
      </c>
      <c r="L9" s="24" t="str">
        <f aca="false">IF(K9&gt;=1,"Complete",IF(K9&gt;0,"In Progress","Not Started"))</f>
        <v>Not Started</v>
      </c>
    </row>
    <row r="10" customFormat="false" ht="42.75" hidden="false" customHeight="true" outlineLevel="0" collapsed="false">
      <c r="A10" s="26" t="s">
        <v>107</v>
      </c>
      <c r="B10" s="27" t="s">
        <v>108</v>
      </c>
      <c r="C10" s="27" t="s">
        <v>109</v>
      </c>
      <c r="D10" s="27" t="s">
        <v>110</v>
      </c>
      <c r="E10" s="27" t="s">
        <v>111</v>
      </c>
      <c r="F10" s="28" t="n">
        <f aca="false">_xlfn.MINIFS('Task Plan'!$L$5:$L$200,'Task Plan'!$B$5:$B$200,A10)</f>
        <v>46405</v>
      </c>
      <c r="G10" s="28" t="n">
        <f aca="false">_xlfn.MAXIFS('Task Plan'!$M$5:$M$200,'Task Plan'!$B$5:$B$200,A10)</f>
        <v>46418</v>
      </c>
      <c r="H10" s="29" t="n">
        <f aca="false">ROUND((G10-F10+1)/7,1)</f>
        <v>2</v>
      </c>
      <c r="I10" s="29" t="n">
        <f aca="false">COUNTIF('Task Plan'!$B$5:$B$200,A10)</f>
        <v>10</v>
      </c>
      <c r="J10" s="29" t="n">
        <f aca="false">SUMIF('Task Plan'!$B$5:$B$200,A10,'Task Plan'!$I$5:$I$200)</f>
        <v>102</v>
      </c>
      <c r="K10" s="30" t="n">
        <f aca="false">IFERROR(SUMPRODUCT(('Task Plan'!$B$5:$B$200=A10)*'Task Plan'!$I$5:$I$200*'Task Plan'!$P$5:$P$200)/J10,0)</f>
        <v>0</v>
      </c>
      <c r="L10" s="29" t="str">
        <f aca="false">IF(K10&gt;=1,"Complete",IF(K10&gt;0,"In Progress","Not Started"))</f>
        <v>Not Started</v>
      </c>
    </row>
    <row r="11" customFormat="false" ht="30" hidden="false" customHeight="true" outlineLevel="0" collapsed="false">
      <c r="A11" s="21" t="s">
        <v>112</v>
      </c>
      <c r="B11" s="22" t="s">
        <v>113</v>
      </c>
      <c r="C11" s="22" t="s">
        <v>114</v>
      </c>
      <c r="D11" s="22" t="s">
        <v>115</v>
      </c>
      <c r="E11" s="22" t="s">
        <v>116</v>
      </c>
      <c r="F11" s="23" t="n">
        <f aca="false">_xlfn.MINIFS('Task Plan'!$L$5:$L$200,'Task Plan'!$B$5:$B$200,A11)</f>
        <v>46405</v>
      </c>
      <c r="G11" s="23" t="n">
        <f aca="false">_xlfn.MAXIFS('Task Plan'!$M$5:$M$200,'Task Plan'!$B$5:$B$200,A11)</f>
        <v>46426</v>
      </c>
      <c r="H11" s="24" t="n">
        <f aca="false">ROUND((G11-F11+1)/7,1)</f>
        <v>3.1</v>
      </c>
      <c r="I11" s="24" t="n">
        <f aca="false">COUNTIF('Task Plan'!$B$5:$B$200,A11)</f>
        <v>8</v>
      </c>
      <c r="J11" s="24" t="n">
        <f aca="false">SUMIF('Task Plan'!$B$5:$B$200,A11,'Task Plan'!$I$5:$I$200)</f>
        <v>98</v>
      </c>
      <c r="K11" s="25" t="n">
        <f aca="false">IFERROR(SUMPRODUCT(('Task Plan'!$B$5:$B$200=A11)*'Task Plan'!$I$5:$I$200*'Task Plan'!$P$5:$P$200)/J11,0)</f>
        <v>0</v>
      </c>
      <c r="L11" s="24" t="str">
        <f aca="false">IF(K11&gt;=1,"Complete",IF(K11&gt;0,"In Progress","Not Started"))</f>
        <v>Not Started</v>
      </c>
    </row>
    <row r="12" customFormat="false" ht="15" hidden="false" customHeight="false" outlineLevel="0" collapsed="false">
      <c r="A12" s="31"/>
      <c r="B12" s="31" t="s">
        <v>117</v>
      </c>
      <c r="C12" s="31"/>
      <c r="D12" s="31"/>
      <c r="E12" s="31"/>
      <c r="F12" s="32" t="n">
        <f aca="false">MIN(F5:F11)</f>
        <v>46314</v>
      </c>
      <c r="G12" s="32" t="n">
        <f aca="false">MAX(G5:G11)</f>
        <v>46426</v>
      </c>
      <c r="H12" s="31" t="n">
        <f aca="false">ROUND((G12-F12+1)/7,1)</f>
        <v>16.1</v>
      </c>
      <c r="I12" s="31" t="n">
        <f aca="false">SUM(I5:I11)</f>
        <v>75</v>
      </c>
      <c r="J12" s="31" t="n">
        <f aca="false">SUM(J5:J11)</f>
        <v>842</v>
      </c>
      <c r="K12" s="33" t="n">
        <f aca="false">IFERROR(SUMPRODUCT(J5:J11,K5:K11)/J12,0)</f>
        <v>0</v>
      </c>
      <c r="L12" s="31"/>
    </row>
    <row r="14" customFormat="false" ht="15" hidden="false" customHeight="false" outlineLevel="0" collapsed="false">
      <c r="A14" s="17" t="s">
        <v>118</v>
      </c>
    </row>
  </sheetData>
  <mergeCells count="2">
    <mergeCell ref="A1:L1"/>
    <mergeCell ref="A2:L2"/>
  </mergeCells>
  <conditionalFormatting sqref="K5:K12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{ABFA7720-697E-48E9-BD90-F4728ACEF6A3}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FA7720-697E-48E9-BD90-F4728ACEF6A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K5:K12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AG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58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10" min="9" style="0" width="8"/>
    <col collapsed="false" customWidth="true" hidden="false" outlineLevel="0" max="11" min="11" style="0" width="7"/>
    <col collapsed="false" customWidth="true" hidden="false" outlineLevel="0" max="13" min="12" style="0" width="11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24"/>
    <col collapsed="false" customWidth="true" hidden="false" outlineLevel="0" max="33" min="18" style="0" width="5.51"/>
  </cols>
  <sheetData>
    <row r="1" customFormat="false" ht="30" hidden="false" customHeight="true" outlineLevel="0" collapsed="false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5" hidden="false" customHeight="false" outlineLevel="0" collapsed="false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customFormat="false" ht="15" hidden="false" customHeight="false" outlineLevel="0" collapsed="false">
      <c r="H3" s="34" t="s">
        <v>121</v>
      </c>
      <c r="I3" s="35" t="n">
        <f aca="false">SUM(I5:I200)</f>
        <v>842</v>
      </c>
      <c r="R3" s="36" t="s">
        <v>122</v>
      </c>
      <c r="S3" s="36" t="s">
        <v>123</v>
      </c>
      <c r="T3" s="36" t="s">
        <v>124</v>
      </c>
      <c r="U3" s="36" t="s">
        <v>125</v>
      </c>
      <c r="V3" s="36" t="s">
        <v>126</v>
      </c>
      <c r="W3" s="36" t="s">
        <v>127</v>
      </c>
      <c r="X3" s="36" t="s">
        <v>128</v>
      </c>
      <c r="Y3" s="36" t="s">
        <v>129</v>
      </c>
      <c r="Z3" s="36" t="s">
        <v>130</v>
      </c>
      <c r="AA3" s="36" t="s">
        <v>131</v>
      </c>
      <c r="AB3" s="36" t="s">
        <v>132</v>
      </c>
      <c r="AC3" s="36" t="s">
        <v>133</v>
      </c>
      <c r="AD3" s="36" t="s">
        <v>134</v>
      </c>
      <c r="AE3" s="36" t="s">
        <v>135</v>
      </c>
      <c r="AF3" s="36" t="s">
        <v>136</v>
      </c>
      <c r="AG3" s="36" t="s">
        <v>137</v>
      </c>
    </row>
    <row r="4" customFormat="false" ht="48" hidden="false" customHeight="true" outlineLevel="0" collapsed="false">
      <c r="A4" s="20" t="s">
        <v>138</v>
      </c>
      <c r="B4" s="20" t="s">
        <v>70</v>
      </c>
      <c r="C4" s="20" t="s">
        <v>71</v>
      </c>
      <c r="D4" s="20" t="s">
        <v>139</v>
      </c>
      <c r="E4" s="20" t="s">
        <v>140</v>
      </c>
      <c r="F4" s="20" t="s">
        <v>141</v>
      </c>
      <c r="G4" s="20" t="s">
        <v>142</v>
      </c>
      <c r="H4" s="20" t="s">
        <v>143</v>
      </c>
      <c r="I4" s="20" t="s">
        <v>79</v>
      </c>
      <c r="J4" s="20" t="s">
        <v>144</v>
      </c>
      <c r="K4" s="20" t="s">
        <v>77</v>
      </c>
      <c r="L4" s="20" t="s">
        <v>145</v>
      </c>
      <c r="M4" s="20" t="s">
        <v>146</v>
      </c>
      <c r="N4" s="20" t="s">
        <v>147</v>
      </c>
      <c r="O4" s="20" t="s">
        <v>81</v>
      </c>
      <c r="P4" s="20" t="s">
        <v>148</v>
      </c>
      <c r="Q4" s="20" t="s">
        <v>149</v>
      </c>
      <c r="R4" s="37" t="n">
        <f aca="false">Overview!$B$10+7*0</f>
        <v>46314</v>
      </c>
      <c r="S4" s="37" t="n">
        <f aca="false">Overview!$B$10+7*1</f>
        <v>46321</v>
      </c>
      <c r="T4" s="37" t="n">
        <f aca="false">Overview!$B$10+7*2</f>
        <v>46328</v>
      </c>
      <c r="U4" s="37" t="n">
        <f aca="false">Overview!$B$10+7*3</f>
        <v>46335</v>
      </c>
      <c r="V4" s="37" t="n">
        <f aca="false">Overview!$B$10+7*4</f>
        <v>46342</v>
      </c>
      <c r="W4" s="37" t="n">
        <f aca="false">Overview!$B$10+7*5</f>
        <v>46349</v>
      </c>
      <c r="X4" s="37" t="n">
        <f aca="false">Overview!$B$10+7*6</f>
        <v>46356</v>
      </c>
      <c r="Y4" s="37" t="n">
        <f aca="false">Overview!$B$10+7*7</f>
        <v>46363</v>
      </c>
      <c r="Z4" s="37" t="n">
        <f aca="false">Overview!$B$10+7*8</f>
        <v>46370</v>
      </c>
      <c r="AA4" s="37" t="n">
        <f aca="false">Overview!$B$10+7*9</f>
        <v>46377</v>
      </c>
      <c r="AB4" s="37" t="n">
        <f aca="false">Overview!$B$10+7*10</f>
        <v>46384</v>
      </c>
      <c r="AC4" s="37" t="n">
        <f aca="false">Overview!$B$10+7*11</f>
        <v>46391</v>
      </c>
      <c r="AD4" s="37" t="n">
        <f aca="false">Overview!$B$10+7*12</f>
        <v>46398</v>
      </c>
      <c r="AE4" s="37" t="n">
        <f aca="false">Overview!$B$10+7*13</f>
        <v>46405</v>
      </c>
      <c r="AF4" s="37" t="n">
        <f aca="false">Overview!$B$10+7*14</f>
        <v>46412</v>
      </c>
      <c r="AG4" s="37" t="n">
        <f aca="false">Overview!$B$10+7*15</f>
        <v>46419</v>
      </c>
    </row>
    <row r="5" customFormat="false" ht="30" hidden="false" customHeight="true" outlineLevel="0" collapsed="false">
      <c r="A5" s="21" t="s">
        <v>150</v>
      </c>
      <c r="B5" s="24" t="s">
        <v>82</v>
      </c>
      <c r="C5" s="22" t="str">
        <f aca="false">IFERROR(INDEX(Roadmap!$B$5:$B$11,MATCH(B5,Roadmap!$A$5:$A$11,0)),"")</f>
        <v>Planning &amp; Approval</v>
      </c>
      <c r="D5" s="22" t="s">
        <v>151</v>
      </c>
      <c r="E5" s="22" t="s">
        <v>152</v>
      </c>
      <c r="F5" s="24" t="s">
        <v>153</v>
      </c>
      <c r="G5" s="38"/>
      <c r="H5" s="39" t="s">
        <v>154</v>
      </c>
      <c r="I5" s="39" t="n">
        <v>6</v>
      </c>
      <c r="J5" s="39" t="n">
        <v>1</v>
      </c>
      <c r="K5" s="39" t="n">
        <v>0.5</v>
      </c>
      <c r="L5" s="23" t="n">
        <f aca="false">Overview!$B$10+ROUND((J5-1)*7,0)</f>
        <v>46314</v>
      </c>
      <c r="M5" s="23" t="n">
        <f aca="false">L5+MAX(ROUND(K5*7,0),1)-1</f>
        <v>46317</v>
      </c>
      <c r="N5" s="24"/>
      <c r="O5" s="39" t="s">
        <v>155</v>
      </c>
      <c r="P5" s="40" t="n">
        <v>0</v>
      </c>
      <c r="Q5" s="22" t="s">
        <v>156</v>
      </c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</row>
    <row r="6" customFormat="false" ht="30" hidden="false" customHeight="true" outlineLevel="0" collapsed="false">
      <c r="A6" s="26" t="s">
        <v>157</v>
      </c>
      <c r="B6" s="29" t="s">
        <v>82</v>
      </c>
      <c r="C6" s="27" t="str">
        <f aca="false">IFERROR(INDEX(Roadmap!$B$5:$B$11,MATCH(B6,Roadmap!$A$5:$A$11,0)),"")</f>
        <v>Planning &amp; Approval</v>
      </c>
      <c r="D6" s="27" t="s">
        <v>158</v>
      </c>
      <c r="E6" s="27" t="s">
        <v>159</v>
      </c>
      <c r="F6" s="29" t="s">
        <v>153</v>
      </c>
      <c r="G6" s="42"/>
      <c r="H6" s="43" t="s">
        <v>154</v>
      </c>
      <c r="I6" s="43" t="n">
        <v>6</v>
      </c>
      <c r="J6" s="43" t="n">
        <v>1</v>
      </c>
      <c r="K6" s="43" t="n">
        <v>1</v>
      </c>
      <c r="L6" s="28" t="n">
        <f aca="false">Overview!$B$10+ROUND((J6-1)*7,0)</f>
        <v>46314</v>
      </c>
      <c r="M6" s="28" t="n">
        <f aca="false">L6+MAX(ROUND(K6*7,0),1)-1</f>
        <v>46320</v>
      </c>
      <c r="N6" s="29" t="s">
        <v>150</v>
      </c>
      <c r="O6" s="43" t="s">
        <v>155</v>
      </c>
      <c r="P6" s="44" t="n">
        <v>0</v>
      </c>
      <c r="Q6" s="27" t="s">
        <v>160</v>
      </c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</row>
    <row r="7" customFormat="false" ht="30" hidden="false" customHeight="true" outlineLevel="0" collapsed="false">
      <c r="A7" s="21" t="s">
        <v>161</v>
      </c>
      <c r="B7" s="24" t="s">
        <v>82</v>
      </c>
      <c r="C7" s="22" t="str">
        <f aca="false">IFERROR(INDEX(Roadmap!$B$5:$B$11,MATCH(B7,Roadmap!$A$5:$A$11,0)),"")</f>
        <v>Planning &amp; Approval</v>
      </c>
      <c r="D7" s="22" t="s">
        <v>162</v>
      </c>
      <c r="E7" s="22" t="s">
        <v>163</v>
      </c>
      <c r="F7" s="24" t="s">
        <v>153</v>
      </c>
      <c r="G7" s="38"/>
      <c r="H7" s="39" t="s">
        <v>164</v>
      </c>
      <c r="I7" s="39" t="n">
        <v>12</v>
      </c>
      <c r="J7" s="39" t="n">
        <v>1</v>
      </c>
      <c r="K7" s="39" t="n">
        <v>2</v>
      </c>
      <c r="L7" s="23" t="n">
        <f aca="false">Overview!$B$10+ROUND((J7-1)*7,0)</f>
        <v>46314</v>
      </c>
      <c r="M7" s="23" t="n">
        <f aca="false">L7+MAX(ROUND(K7*7,0),1)-1</f>
        <v>46327</v>
      </c>
      <c r="N7" s="24"/>
      <c r="O7" s="39" t="s">
        <v>155</v>
      </c>
      <c r="P7" s="40" t="n">
        <v>0</v>
      </c>
      <c r="Q7" s="22" t="s">
        <v>165</v>
      </c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</row>
    <row r="8" customFormat="false" ht="30" hidden="false" customHeight="true" outlineLevel="0" collapsed="false">
      <c r="A8" s="26" t="s">
        <v>166</v>
      </c>
      <c r="B8" s="29" t="s">
        <v>82</v>
      </c>
      <c r="C8" s="27" t="str">
        <f aca="false">IFERROR(INDEX(Roadmap!$B$5:$B$11,MATCH(B8,Roadmap!$A$5:$A$11,0)),"")</f>
        <v>Planning &amp; Approval</v>
      </c>
      <c r="D8" s="27" t="s">
        <v>167</v>
      </c>
      <c r="E8" s="27" t="s">
        <v>168</v>
      </c>
      <c r="F8" s="29" t="s">
        <v>153</v>
      </c>
      <c r="G8" s="42"/>
      <c r="H8" s="43" t="s">
        <v>154</v>
      </c>
      <c r="I8" s="43" t="n">
        <v>16</v>
      </c>
      <c r="J8" s="43" t="n">
        <v>1</v>
      </c>
      <c r="K8" s="43" t="n">
        <v>2</v>
      </c>
      <c r="L8" s="28" t="n">
        <f aca="false">Overview!$B$10+ROUND((J8-1)*7,0)</f>
        <v>46314</v>
      </c>
      <c r="M8" s="28" t="n">
        <f aca="false">L8+MAX(ROUND(K8*7,0),1)-1</f>
        <v>46327</v>
      </c>
      <c r="N8" s="29" t="s">
        <v>150</v>
      </c>
      <c r="O8" s="43" t="s">
        <v>155</v>
      </c>
      <c r="P8" s="44" t="n">
        <v>0</v>
      </c>
      <c r="Q8" s="27" t="s">
        <v>169</v>
      </c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</row>
    <row r="9" customFormat="false" ht="30" hidden="false" customHeight="true" outlineLevel="0" collapsed="false">
      <c r="A9" s="21" t="s">
        <v>170</v>
      </c>
      <c r="B9" s="24" t="s">
        <v>82</v>
      </c>
      <c r="C9" s="22" t="str">
        <f aca="false">IFERROR(INDEX(Roadmap!$B$5:$B$11,MATCH(B9,Roadmap!$A$5:$A$11,0)),"")</f>
        <v>Planning &amp; Approval</v>
      </c>
      <c r="D9" s="22" t="s">
        <v>171</v>
      </c>
      <c r="E9" s="22" t="s">
        <v>172</v>
      </c>
      <c r="F9" s="24" t="s">
        <v>173</v>
      </c>
      <c r="G9" s="38"/>
      <c r="H9" s="39" t="s">
        <v>154</v>
      </c>
      <c r="I9" s="39" t="n">
        <v>6</v>
      </c>
      <c r="J9" s="39" t="n">
        <v>2</v>
      </c>
      <c r="K9" s="39" t="n">
        <v>0.5</v>
      </c>
      <c r="L9" s="23" t="n">
        <f aca="false">Overview!$B$10+ROUND((J9-1)*7,0)</f>
        <v>46321</v>
      </c>
      <c r="M9" s="23" t="n">
        <f aca="false">L9+MAX(ROUND(K9*7,0),1)-1</f>
        <v>46324</v>
      </c>
      <c r="N9" s="24" t="s">
        <v>166</v>
      </c>
      <c r="O9" s="39" t="s">
        <v>155</v>
      </c>
      <c r="P9" s="40" t="n">
        <v>0</v>
      </c>
      <c r="Q9" s="22" t="s">
        <v>174</v>
      </c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</row>
    <row r="10" customFormat="false" ht="30" hidden="false" customHeight="true" outlineLevel="0" collapsed="false">
      <c r="A10" s="26" t="s">
        <v>175</v>
      </c>
      <c r="B10" s="29" t="s">
        <v>82</v>
      </c>
      <c r="C10" s="27" t="str">
        <f aca="false">IFERROR(INDEX(Roadmap!$B$5:$B$11,MATCH(B10,Roadmap!$A$5:$A$11,0)),"")</f>
        <v>Planning &amp; Approval</v>
      </c>
      <c r="D10" s="27" t="s">
        <v>176</v>
      </c>
      <c r="E10" s="27" t="s">
        <v>177</v>
      </c>
      <c r="F10" s="29" t="s">
        <v>178</v>
      </c>
      <c r="G10" s="42"/>
      <c r="H10" s="43" t="s">
        <v>154</v>
      </c>
      <c r="I10" s="43" t="n">
        <v>16</v>
      </c>
      <c r="J10" s="43" t="n">
        <v>2</v>
      </c>
      <c r="K10" s="43" t="n">
        <v>1</v>
      </c>
      <c r="L10" s="28" t="n">
        <f aca="false">Overview!$B$10+ROUND((J10-1)*7,0)</f>
        <v>46321</v>
      </c>
      <c r="M10" s="28" t="n">
        <f aca="false">L10+MAX(ROUND(K10*7,0),1)-1</f>
        <v>46327</v>
      </c>
      <c r="N10" s="29" t="s">
        <v>166</v>
      </c>
      <c r="O10" s="43" t="s">
        <v>155</v>
      </c>
      <c r="P10" s="44" t="n">
        <v>0</v>
      </c>
      <c r="Q10" s="27" t="s">
        <v>179</v>
      </c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</row>
    <row r="11" customFormat="false" ht="30" hidden="false" customHeight="true" outlineLevel="0" collapsed="false">
      <c r="A11" s="21" t="s">
        <v>180</v>
      </c>
      <c r="B11" s="24" t="s">
        <v>82</v>
      </c>
      <c r="C11" s="22" t="str">
        <f aca="false">IFERROR(INDEX(Roadmap!$B$5:$B$11,MATCH(B11,Roadmap!$A$5:$A$11,0)),"")</f>
        <v>Planning &amp; Approval</v>
      </c>
      <c r="D11" s="22" t="s">
        <v>181</v>
      </c>
      <c r="E11" s="22" t="s">
        <v>182</v>
      </c>
      <c r="F11" s="24" t="s">
        <v>178</v>
      </c>
      <c r="G11" s="38"/>
      <c r="H11" s="39" t="s">
        <v>164</v>
      </c>
      <c r="I11" s="39" t="n">
        <v>6</v>
      </c>
      <c r="J11" s="39" t="n">
        <v>2</v>
      </c>
      <c r="K11" s="39" t="n">
        <v>1</v>
      </c>
      <c r="L11" s="23" t="n">
        <f aca="false">Overview!$B$10+ROUND((J11-1)*7,0)</f>
        <v>46321</v>
      </c>
      <c r="M11" s="23" t="n">
        <f aca="false">L11+MAX(ROUND(K11*7,0),1)-1</f>
        <v>46327</v>
      </c>
      <c r="N11" s="24" t="s">
        <v>175</v>
      </c>
      <c r="O11" s="39" t="s">
        <v>155</v>
      </c>
      <c r="P11" s="40" t="n">
        <v>0</v>
      </c>
      <c r="Q11" s="22" t="s">
        <v>183</v>
      </c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</row>
    <row r="12" customFormat="false" ht="30" hidden="false" customHeight="true" outlineLevel="0" collapsed="false">
      <c r="A12" s="26" t="s">
        <v>184</v>
      </c>
      <c r="B12" s="29" t="s">
        <v>82</v>
      </c>
      <c r="C12" s="27" t="str">
        <f aca="false">IFERROR(INDEX(Roadmap!$B$5:$B$11,MATCH(B12,Roadmap!$A$5:$A$11,0)),"")</f>
        <v>Planning &amp; Approval</v>
      </c>
      <c r="D12" s="27" t="s">
        <v>185</v>
      </c>
      <c r="E12" s="27" t="s">
        <v>186</v>
      </c>
      <c r="F12" s="29" t="s">
        <v>187</v>
      </c>
      <c r="G12" s="42"/>
      <c r="H12" s="43" t="s">
        <v>154</v>
      </c>
      <c r="I12" s="43" t="n">
        <v>6</v>
      </c>
      <c r="J12" s="43" t="n">
        <v>1</v>
      </c>
      <c r="K12" s="43" t="n">
        <v>1</v>
      </c>
      <c r="L12" s="28" t="n">
        <f aca="false">Overview!$B$10+ROUND((J12-1)*7,0)</f>
        <v>46314</v>
      </c>
      <c r="M12" s="28" t="n">
        <f aca="false">L12+MAX(ROUND(K12*7,0),1)-1</f>
        <v>46320</v>
      </c>
      <c r="N12" s="29"/>
      <c r="O12" s="43" t="s">
        <v>155</v>
      </c>
      <c r="P12" s="44" t="n">
        <v>0</v>
      </c>
      <c r="Q12" s="27" t="s">
        <v>188</v>
      </c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</row>
    <row r="13" customFormat="false" ht="30" hidden="false" customHeight="true" outlineLevel="0" collapsed="false">
      <c r="A13" s="21" t="s">
        <v>189</v>
      </c>
      <c r="B13" s="24" t="s">
        <v>82</v>
      </c>
      <c r="C13" s="22" t="str">
        <f aca="false">IFERROR(INDEX(Roadmap!$B$5:$B$11,MATCH(B13,Roadmap!$A$5:$A$11,0)),"")</f>
        <v>Planning &amp; Approval</v>
      </c>
      <c r="D13" s="22" t="s">
        <v>190</v>
      </c>
      <c r="E13" s="22" t="s">
        <v>191</v>
      </c>
      <c r="F13" s="24" t="s">
        <v>187</v>
      </c>
      <c r="G13" s="38"/>
      <c r="H13" s="39" t="s">
        <v>154</v>
      </c>
      <c r="I13" s="39" t="n">
        <v>8</v>
      </c>
      <c r="J13" s="39" t="n">
        <v>2</v>
      </c>
      <c r="K13" s="39" t="n">
        <v>1</v>
      </c>
      <c r="L13" s="23" t="n">
        <f aca="false">Overview!$B$10+ROUND((J13-1)*7,0)</f>
        <v>46321</v>
      </c>
      <c r="M13" s="23" t="n">
        <f aca="false">L13+MAX(ROUND(K13*7,0),1)-1</f>
        <v>46327</v>
      </c>
      <c r="N13" s="24" t="s">
        <v>184</v>
      </c>
      <c r="O13" s="39" t="s">
        <v>155</v>
      </c>
      <c r="P13" s="40" t="n">
        <v>0</v>
      </c>
      <c r="Q13" s="22" t="s">
        <v>192</v>
      </c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</row>
    <row r="14" customFormat="false" ht="30" hidden="false" customHeight="true" outlineLevel="0" collapsed="false">
      <c r="A14" s="26" t="s">
        <v>193</v>
      </c>
      <c r="B14" s="29" t="s">
        <v>82</v>
      </c>
      <c r="C14" s="27" t="str">
        <f aca="false">IFERROR(INDEX(Roadmap!$B$5:$B$11,MATCH(B14,Roadmap!$A$5:$A$11,0)),"")</f>
        <v>Planning &amp; Approval</v>
      </c>
      <c r="D14" s="27" t="s">
        <v>194</v>
      </c>
      <c r="E14" s="27" t="s">
        <v>195</v>
      </c>
      <c r="F14" s="29" t="s">
        <v>196</v>
      </c>
      <c r="G14" s="42"/>
      <c r="H14" s="43" t="s">
        <v>154</v>
      </c>
      <c r="I14" s="43" t="n">
        <v>10</v>
      </c>
      <c r="J14" s="43" t="n">
        <v>1</v>
      </c>
      <c r="K14" s="43" t="n">
        <v>2</v>
      </c>
      <c r="L14" s="28" t="n">
        <f aca="false">Overview!$B$10+ROUND((J14-1)*7,0)</f>
        <v>46314</v>
      </c>
      <c r="M14" s="28" t="n">
        <f aca="false">L14+MAX(ROUND(K14*7,0),1)-1</f>
        <v>46327</v>
      </c>
      <c r="N14" s="29"/>
      <c r="O14" s="43" t="s">
        <v>155</v>
      </c>
      <c r="P14" s="44" t="n">
        <v>0</v>
      </c>
      <c r="Q14" s="27" t="s">
        <v>197</v>
      </c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</row>
    <row r="15" customFormat="false" ht="30" hidden="false" customHeight="true" outlineLevel="0" collapsed="false">
      <c r="A15" s="21" t="s">
        <v>198</v>
      </c>
      <c r="B15" s="24" t="s">
        <v>87</v>
      </c>
      <c r="C15" s="22" t="str">
        <f aca="false">IFERROR(INDEX(Roadmap!$B$5:$B$11,MATCH(B15,Roadmap!$A$5:$A$11,0)),"")</f>
        <v>MVP Core Platform</v>
      </c>
      <c r="D15" s="22" t="s">
        <v>199</v>
      </c>
      <c r="E15" s="22" t="s">
        <v>200</v>
      </c>
      <c r="F15" s="24" t="s">
        <v>173</v>
      </c>
      <c r="G15" s="38"/>
      <c r="H15" s="39" t="s">
        <v>154</v>
      </c>
      <c r="I15" s="39" t="n">
        <v>14</v>
      </c>
      <c r="J15" s="39" t="n">
        <v>3</v>
      </c>
      <c r="K15" s="39" t="n">
        <v>1</v>
      </c>
      <c r="L15" s="23" t="n">
        <f aca="false">Overview!$B$10+ROUND((J15-1)*7,0)</f>
        <v>46328</v>
      </c>
      <c r="M15" s="23" t="n">
        <f aca="false">L15+MAX(ROUND(K15*7,0),1)-1</f>
        <v>46334</v>
      </c>
      <c r="N15" s="24" t="s">
        <v>175</v>
      </c>
      <c r="O15" s="39" t="s">
        <v>155</v>
      </c>
      <c r="P15" s="40" t="n">
        <v>0</v>
      </c>
      <c r="Q15" s="22" t="s">
        <v>201</v>
      </c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</row>
    <row r="16" customFormat="false" ht="30" hidden="false" customHeight="true" outlineLevel="0" collapsed="false">
      <c r="A16" s="26" t="s">
        <v>202</v>
      </c>
      <c r="B16" s="29" t="s">
        <v>87</v>
      </c>
      <c r="C16" s="27" t="str">
        <f aca="false">IFERROR(INDEX(Roadmap!$B$5:$B$11,MATCH(B16,Roadmap!$A$5:$A$11,0)),"")</f>
        <v>MVP Core Platform</v>
      </c>
      <c r="D16" s="27" t="s">
        <v>203</v>
      </c>
      <c r="E16" s="27" t="s">
        <v>204</v>
      </c>
      <c r="F16" s="29" t="s">
        <v>173</v>
      </c>
      <c r="G16" s="42"/>
      <c r="H16" s="43" t="s">
        <v>154</v>
      </c>
      <c r="I16" s="43" t="n">
        <v>10</v>
      </c>
      <c r="J16" s="43" t="n">
        <v>3</v>
      </c>
      <c r="K16" s="43" t="n">
        <v>1</v>
      </c>
      <c r="L16" s="28" t="n">
        <f aca="false">Overview!$B$10+ROUND((J16-1)*7,0)</f>
        <v>46328</v>
      </c>
      <c r="M16" s="28" t="n">
        <f aca="false">L16+MAX(ROUND(K16*7,0),1)-1</f>
        <v>46334</v>
      </c>
      <c r="N16" s="29" t="s">
        <v>198</v>
      </c>
      <c r="O16" s="43" t="s">
        <v>155</v>
      </c>
      <c r="P16" s="44" t="n">
        <v>0</v>
      </c>
      <c r="Q16" s="27" t="s">
        <v>205</v>
      </c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</row>
    <row r="17" customFormat="false" ht="30" hidden="false" customHeight="true" outlineLevel="0" collapsed="false">
      <c r="A17" s="21" t="s">
        <v>206</v>
      </c>
      <c r="B17" s="24" t="s">
        <v>87</v>
      </c>
      <c r="C17" s="22" t="str">
        <f aca="false">IFERROR(INDEX(Roadmap!$B$5:$B$11,MATCH(B17,Roadmap!$A$5:$A$11,0)),"")</f>
        <v>MVP Core Platform</v>
      </c>
      <c r="D17" s="22" t="s">
        <v>207</v>
      </c>
      <c r="E17" s="22" t="s">
        <v>208</v>
      </c>
      <c r="F17" s="24" t="s">
        <v>173</v>
      </c>
      <c r="G17" s="38"/>
      <c r="H17" s="39" t="s">
        <v>154</v>
      </c>
      <c r="I17" s="39" t="n">
        <v>14</v>
      </c>
      <c r="J17" s="39" t="n">
        <v>3</v>
      </c>
      <c r="K17" s="39" t="n">
        <v>1.5</v>
      </c>
      <c r="L17" s="23" t="n">
        <f aca="false">Overview!$B$10+ROUND((J17-1)*7,0)</f>
        <v>46328</v>
      </c>
      <c r="M17" s="23" t="n">
        <f aca="false">L17+MAX(ROUND(K17*7,0),1)-1</f>
        <v>46338</v>
      </c>
      <c r="N17" s="24" t="s">
        <v>202</v>
      </c>
      <c r="O17" s="39" t="s">
        <v>155</v>
      </c>
      <c r="P17" s="40" t="n">
        <v>0</v>
      </c>
      <c r="Q17" s="22" t="s">
        <v>209</v>
      </c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</row>
    <row r="18" customFormat="false" ht="30" hidden="false" customHeight="true" outlineLevel="0" collapsed="false">
      <c r="A18" s="26" t="s">
        <v>210</v>
      </c>
      <c r="B18" s="29" t="s">
        <v>87</v>
      </c>
      <c r="C18" s="27" t="str">
        <f aca="false">IFERROR(INDEX(Roadmap!$B$5:$B$11,MATCH(B18,Roadmap!$A$5:$A$11,0)),"")</f>
        <v>MVP Core Platform</v>
      </c>
      <c r="D18" s="27" t="s">
        <v>211</v>
      </c>
      <c r="E18" s="27" t="s">
        <v>212</v>
      </c>
      <c r="F18" s="29" t="s">
        <v>173</v>
      </c>
      <c r="G18" s="42"/>
      <c r="H18" s="43" t="s">
        <v>154</v>
      </c>
      <c r="I18" s="43" t="n">
        <v>8</v>
      </c>
      <c r="J18" s="43" t="n">
        <v>4</v>
      </c>
      <c r="K18" s="43" t="n">
        <v>1</v>
      </c>
      <c r="L18" s="28" t="n">
        <f aca="false">Overview!$B$10+ROUND((J18-1)*7,0)</f>
        <v>46335</v>
      </c>
      <c r="M18" s="28" t="n">
        <f aca="false">L18+MAX(ROUND(K18*7,0),1)-1</f>
        <v>46341</v>
      </c>
      <c r="N18" s="29" t="s">
        <v>206</v>
      </c>
      <c r="O18" s="43" t="s">
        <v>155</v>
      </c>
      <c r="P18" s="44" t="n">
        <v>0</v>
      </c>
      <c r="Q18" s="27" t="s">
        <v>213</v>
      </c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</row>
    <row r="19" customFormat="false" ht="30" hidden="false" customHeight="true" outlineLevel="0" collapsed="false">
      <c r="A19" s="21" t="s">
        <v>214</v>
      </c>
      <c r="B19" s="24" t="s">
        <v>87</v>
      </c>
      <c r="C19" s="22" t="str">
        <f aca="false">IFERROR(INDEX(Roadmap!$B$5:$B$11,MATCH(B19,Roadmap!$A$5:$A$11,0)),"")</f>
        <v>MVP Core Platform</v>
      </c>
      <c r="D19" s="22" t="s">
        <v>215</v>
      </c>
      <c r="E19" s="22" t="s">
        <v>216</v>
      </c>
      <c r="F19" s="24" t="s">
        <v>173</v>
      </c>
      <c r="G19" s="38"/>
      <c r="H19" s="39" t="s">
        <v>154</v>
      </c>
      <c r="I19" s="39" t="n">
        <v>14</v>
      </c>
      <c r="J19" s="39" t="n">
        <v>4</v>
      </c>
      <c r="K19" s="39" t="n">
        <v>1.5</v>
      </c>
      <c r="L19" s="23" t="n">
        <f aca="false">Overview!$B$10+ROUND((J19-1)*7,0)</f>
        <v>46335</v>
      </c>
      <c r="M19" s="23" t="n">
        <f aca="false">L19+MAX(ROUND(K19*7,0),1)-1</f>
        <v>46345</v>
      </c>
      <c r="N19" s="24" t="s">
        <v>202</v>
      </c>
      <c r="O19" s="39" t="s">
        <v>155</v>
      </c>
      <c r="P19" s="40" t="n">
        <v>0</v>
      </c>
      <c r="Q19" s="22" t="s">
        <v>217</v>
      </c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</row>
    <row r="20" customFormat="false" ht="30" hidden="false" customHeight="true" outlineLevel="0" collapsed="false">
      <c r="A20" s="26" t="s">
        <v>218</v>
      </c>
      <c r="B20" s="29" t="s">
        <v>87</v>
      </c>
      <c r="C20" s="27" t="str">
        <f aca="false">IFERROR(INDEX(Roadmap!$B$5:$B$11,MATCH(B20,Roadmap!$A$5:$A$11,0)),"")</f>
        <v>MVP Core Platform</v>
      </c>
      <c r="D20" s="27" t="s">
        <v>219</v>
      </c>
      <c r="E20" s="27" t="s">
        <v>220</v>
      </c>
      <c r="F20" s="29" t="s">
        <v>173</v>
      </c>
      <c r="G20" s="42"/>
      <c r="H20" s="43" t="s">
        <v>164</v>
      </c>
      <c r="I20" s="43" t="n">
        <v>10</v>
      </c>
      <c r="J20" s="43" t="n">
        <v>4</v>
      </c>
      <c r="K20" s="43" t="n">
        <v>1</v>
      </c>
      <c r="L20" s="28" t="n">
        <f aca="false">Overview!$B$10+ROUND((J20-1)*7,0)</f>
        <v>46335</v>
      </c>
      <c r="M20" s="28" t="n">
        <f aca="false">L20+MAX(ROUND(K20*7,0),1)-1</f>
        <v>46341</v>
      </c>
      <c r="N20" s="29" t="s">
        <v>189</v>
      </c>
      <c r="O20" s="43" t="s">
        <v>155</v>
      </c>
      <c r="P20" s="44" t="n">
        <v>0</v>
      </c>
      <c r="Q20" s="27" t="s">
        <v>221</v>
      </c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</row>
    <row r="21" customFormat="false" ht="30" hidden="false" customHeight="true" outlineLevel="0" collapsed="false">
      <c r="A21" s="21" t="s">
        <v>222</v>
      </c>
      <c r="B21" s="24" t="s">
        <v>87</v>
      </c>
      <c r="C21" s="22" t="str">
        <f aca="false">IFERROR(INDEX(Roadmap!$B$5:$B$11,MATCH(B21,Roadmap!$A$5:$A$11,0)),"")</f>
        <v>MVP Core Platform</v>
      </c>
      <c r="D21" s="22" t="s">
        <v>223</v>
      </c>
      <c r="E21" s="22" t="s">
        <v>224</v>
      </c>
      <c r="F21" s="24" t="s">
        <v>225</v>
      </c>
      <c r="G21" s="38"/>
      <c r="H21" s="39" t="s">
        <v>154</v>
      </c>
      <c r="I21" s="39" t="n">
        <v>12</v>
      </c>
      <c r="J21" s="39" t="n">
        <v>3</v>
      </c>
      <c r="K21" s="39" t="n">
        <v>1.5</v>
      </c>
      <c r="L21" s="23" t="n">
        <f aca="false">Overview!$B$10+ROUND((J21-1)*7,0)</f>
        <v>46328</v>
      </c>
      <c r="M21" s="23" t="n">
        <f aca="false">L21+MAX(ROUND(K21*7,0),1)-1</f>
        <v>46338</v>
      </c>
      <c r="N21" s="24" t="s">
        <v>198</v>
      </c>
      <c r="O21" s="39" t="s">
        <v>155</v>
      </c>
      <c r="P21" s="40" t="n">
        <v>0</v>
      </c>
      <c r="Q21" s="22" t="s">
        <v>226</v>
      </c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</row>
    <row r="22" customFormat="false" ht="30" hidden="false" customHeight="true" outlineLevel="0" collapsed="false">
      <c r="A22" s="26" t="s">
        <v>227</v>
      </c>
      <c r="B22" s="29" t="s">
        <v>87</v>
      </c>
      <c r="C22" s="27" t="str">
        <f aca="false">IFERROR(INDEX(Roadmap!$B$5:$B$11,MATCH(B22,Roadmap!$A$5:$A$11,0)),"")</f>
        <v>MVP Core Platform</v>
      </c>
      <c r="D22" s="27" t="s">
        <v>228</v>
      </c>
      <c r="E22" s="27" t="s">
        <v>229</v>
      </c>
      <c r="F22" s="29" t="s">
        <v>225</v>
      </c>
      <c r="G22" s="42"/>
      <c r="H22" s="43" t="s">
        <v>154</v>
      </c>
      <c r="I22" s="43" t="n">
        <v>16</v>
      </c>
      <c r="J22" s="43" t="n">
        <v>4</v>
      </c>
      <c r="K22" s="43" t="n">
        <v>2</v>
      </c>
      <c r="L22" s="28" t="n">
        <f aca="false">Overview!$B$10+ROUND((J22-1)*7,0)</f>
        <v>46335</v>
      </c>
      <c r="M22" s="28" t="n">
        <f aca="false">L22+MAX(ROUND(K22*7,0),1)-1</f>
        <v>46348</v>
      </c>
      <c r="N22" s="29" t="s">
        <v>222</v>
      </c>
      <c r="O22" s="43" t="s">
        <v>155</v>
      </c>
      <c r="P22" s="44" t="n">
        <v>0</v>
      </c>
      <c r="Q22" s="27" t="s">
        <v>230</v>
      </c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</row>
    <row r="23" customFormat="false" ht="30" hidden="false" customHeight="true" outlineLevel="0" collapsed="false">
      <c r="A23" s="21" t="s">
        <v>231</v>
      </c>
      <c r="B23" s="24" t="s">
        <v>87</v>
      </c>
      <c r="C23" s="22" t="str">
        <f aca="false">IFERROR(INDEX(Roadmap!$B$5:$B$11,MATCH(B23,Roadmap!$A$5:$A$11,0)),"")</f>
        <v>MVP Core Platform</v>
      </c>
      <c r="D23" s="22" t="s">
        <v>232</v>
      </c>
      <c r="E23" s="22" t="s">
        <v>233</v>
      </c>
      <c r="F23" s="24" t="s">
        <v>225</v>
      </c>
      <c r="G23" s="38"/>
      <c r="H23" s="39" t="s">
        <v>154</v>
      </c>
      <c r="I23" s="39" t="n">
        <v>14</v>
      </c>
      <c r="J23" s="39" t="n">
        <v>4</v>
      </c>
      <c r="K23" s="39" t="n">
        <v>2</v>
      </c>
      <c r="L23" s="23" t="n">
        <f aca="false">Overview!$B$10+ROUND((J23-1)*7,0)</f>
        <v>46335</v>
      </c>
      <c r="M23" s="23" t="n">
        <f aca="false">L23+MAX(ROUND(K23*7,0),1)-1</f>
        <v>46348</v>
      </c>
      <c r="N23" s="24" t="s">
        <v>222</v>
      </c>
      <c r="O23" s="39" t="s">
        <v>155</v>
      </c>
      <c r="P23" s="40" t="n">
        <v>0</v>
      </c>
      <c r="Q23" s="22" t="s">
        <v>234</v>
      </c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</row>
    <row r="24" customFormat="false" ht="30" hidden="false" customHeight="true" outlineLevel="0" collapsed="false">
      <c r="A24" s="26" t="s">
        <v>235</v>
      </c>
      <c r="B24" s="29" t="s">
        <v>87</v>
      </c>
      <c r="C24" s="27" t="str">
        <f aca="false">IFERROR(INDEX(Roadmap!$B$5:$B$11,MATCH(B24,Roadmap!$A$5:$A$11,0)),"")</f>
        <v>MVP Core Platform</v>
      </c>
      <c r="D24" s="27" t="s">
        <v>236</v>
      </c>
      <c r="E24" s="27" t="s">
        <v>237</v>
      </c>
      <c r="F24" s="29" t="s">
        <v>225</v>
      </c>
      <c r="G24" s="42"/>
      <c r="H24" s="43" t="s">
        <v>154</v>
      </c>
      <c r="I24" s="43" t="n">
        <v>10</v>
      </c>
      <c r="J24" s="43" t="n">
        <v>5</v>
      </c>
      <c r="K24" s="43" t="n">
        <v>1</v>
      </c>
      <c r="L24" s="28" t="n">
        <f aca="false">Overview!$B$10+ROUND((J24-1)*7,0)</f>
        <v>46342</v>
      </c>
      <c r="M24" s="28" t="n">
        <f aca="false">L24+MAX(ROUND(K24*7,0),1)-1</f>
        <v>46348</v>
      </c>
      <c r="N24" s="29" t="s">
        <v>231</v>
      </c>
      <c r="O24" s="43" t="s">
        <v>155</v>
      </c>
      <c r="P24" s="44" t="n">
        <v>0</v>
      </c>
      <c r="Q24" s="27" t="s">
        <v>238</v>
      </c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</row>
    <row r="25" customFormat="false" ht="30" hidden="false" customHeight="true" outlineLevel="0" collapsed="false">
      <c r="A25" s="21" t="s">
        <v>239</v>
      </c>
      <c r="B25" s="24" t="s">
        <v>87</v>
      </c>
      <c r="C25" s="22" t="str">
        <f aca="false">IFERROR(INDEX(Roadmap!$B$5:$B$11,MATCH(B25,Roadmap!$A$5:$A$11,0)),"")</f>
        <v>MVP Core Platform</v>
      </c>
      <c r="D25" s="22" t="s">
        <v>240</v>
      </c>
      <c r="E25" s="22" t="s">
        <v>241</v>
      </c>
      <c r="F25" s="24" t="s">
        <v>242</v>
      </c>
      <c r="G25" s="38"/>
      <c r="H25" s="39" t="s">
        <v>154</v>
      </c>
      <c r="I25" s="39" t="n">
        <v>12</v>
      </c>
      <c r="J25" s="39" t="n">
        <v>5</v>
      </c>
      <c r="K25" s="39" t="n">
        <v>1</v>
      </c>
      <c r="L25" s="23" t="n">
        <f aca="false">Overview!$B$10+ROUND((J25-1)*7,0)</f>
        <v>46342</v>
      </c>
      <c r="M25" s="23" t="n">
        <f aca="false">L25+MAX(ROUND(K25*7,0),1)-1</f>
        <v>46348</v>
      </c>
      <c r="N25" s="24" t="s">
        <v>210</v>
      </c>
      <c r="O25" s="39" t="s">
        <v>155</v>
      </c>
      <c r="P25" s="40" t="n">
        <v>0</v>
      </c>
      <c r="Q25" s="22" t="s">
        <v>243</v>
      </c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</row>
    <row r="26" customFormat="false" ht="30" hidden="false" customHeight="true" outlineLevel="0" collapsed="false">
      <c r="A26" s="26" t="s">
        <v>244</v>
      </c>
      <c r="B26" s="29" t="s">
        <v>87</v>
      </c>
      <c r="C26" s="27" t="str">
        <f aca="false">IFERROR(INDEX(Roadmap!$B$5:$B$11,MATCH(B26,Roadmap!$A$5:$A$11,0)),"")</f>
        <v>MVP Core Platform</v>
      </c>
      <c r="D26" s="27" t="s">
        <v>245</v>
      </c>
      <c r="E26" s="27" t="s">
        <v>246</v>
      </c>
      <c r="F26" s="29" t="s">
        <v>173</v>
      </c>
      <c r="G26" s="42"/>
      <c r="H26" s="43" t="s">
        <v>164</v>
      </c>
      <c r="I26" s="43" t="n">
        <v>6</v>
      </c>
      <c r="J26" s="43" t="n">
        <v>4</v>
      </c>
      <c r="K26" s="43" t="n">
        <v>1</v>
      </c>
      <c r="L26" s="28" t="n">
        <f aca="false">Overview!$B$10+ROUND((J26-1)*7,0)</f>
        <v>46335</v>
      </c>
      <c r="M26" s="28" t="n">
        <f aca="false">L26+MAX(ROUND(K26*7,0),1)-1</f>
        <v>46341</v>
      </c>
      <c r="N26" s="29" t="s">
        <v>214</v>
      </c>
      <c r="O26" s="43" t="s">
        <v>155</v>
      </c>
      <c r="P26" s="44" t="n">
        <v>0</v>
      </c>
      <c r="Q26" s="27" t="s">
        <v>247</v>
      </c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</row>
    <row r="27" customFormat="false" ht="18" hidden="false" customHeight="true" outlineLevel="0" collapsed="false">
      <c r="A27" s="21" t="s">
        <v>248</v>
      </c>
      <c r="B27" s="24" t="s">
        <v>87</v>
      </c>
      <c r="C27" s="22" t="str">
        <f aca="false">IFERROR(INDEX(Roadmap!$B$5:$B$11,MATCH(B27,Roadmap!$A$5:$A$11,0)),"")</f>
        <v>MVP Core Platform</v>
      </c>
      <c r="D27" s="22" t="s">
        <v>249</v>
      </c>
      <c r="E27" s="22" t="s">
        <v>250</v>
      </c>
      <c r="F27" s="24" t="s">
        <v>187</v>
      </c>
      <c r="G27" s="38"/>
      <c r="H27" s="39" t="s">
        <v>154</v>
      </c>
      <c r="I27" s="39" t="n">
        <v>10</v>
      </c>
      <c r="J27" s="39" t="n">
        <v>5</v>
      </c>
      <c r="K27" s="39" t="n">
        <v>1</v>
      </c>
      <c r="L27" s="23" t="n">
        <f aca="false">Overview!$B$10+ROUND((J27-1)*7,0)</f>
        <v>46342</v>
      </c>
      <c r="M27" s="23" t="n">
        <f aca="false">L27+MAX(ROUND(K27*7,0),1)-1</f>
        <v>46348</v>
      </c>
      <c r="N27" s="24" t="s">
        <v>214</v>
      </c>
      <c r="O27" s="39" t="s">
        <v>155</v>
      </c>
      <c r="P27" s="40" t="n">
        <v>0</v>
      </c>
      <c r="Q27" s="22" t="s">
        <v>251</v>
      </c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</row>
    <row r="28" customFormat="false" ht="18" hidden="false" customHeight="true" outlineLevel="0" collapsed="false">
      <c r="A28" s="26" t="s">
        <v>252</v>
      </c>
      <c r="B28" s="26" t="s">
        <v>87</v>
      </c>
      <c r="C28" s="45" t="str">
        <f aca="false">IFERROR(INDEX(Roadmap!$B$5:$B$11,MATCH(B28,Roadmap!$A$5:$A$11,0)),"")</f>
        <v>MVP Core Platform</v>
      </c>
      <c r="D28" s="45" t="s">
        <v>253</v>
      </c>
      <c r="E28" s="45" t="s">
        <v>254</v>
      </c>
      <c r="F28" s="26" t="s">
        <v>153</v>
      </c>
      <c r="G28" s="46"/>
      <c r="H28" s="47" t="s">
        <v>154</v>
      </c>
      <c r="I28" s="47" t="n">
        <v>4</v>
      </c>
      <c r="J28" s="47" t="n">
        <v>5.5</v>
      </c>
      <c r="K28" s="47" t="n">
        <v>0.5</v>
      </c>
      <c r="L28" s="48" t="n">
        <f aca="false">Overview!$B$10+ROUND((J28-1)*7,0)</f>
        <v>46346</v>
      </c>
      <c r="M28" s="48" t="n">
        <f aca="false">L28+MAX(ROUND(K28*7,0),1)-1</f>
        <v>46349</v>
      </c>
      <c r="N28" s="26" t="s">
        <v>248</v>
      </c>
      <c r="O28" s="47" t="s">
        <v>155</v>
      </c>
      <c r="P28" s="49" t="n">
        <v>0</v>
      </c>
      <c r="Q28" s="45" t="s">
        <v>255</v>
      </c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29" customFormat="false" ht="30" hidden="false" customHeight="true" outlineLevel="0" collapsed="false">
      <c r="A29" s="21" t="s">
        <v>256</v>
      </c>
      <c r="B29" s="24" t="s">
        <v>92</v>
      </c>
      <c r="C29" s="22" t="str">
        <f aca="false">IFERROR(INDEX(Roadmap!$B$5:$B$11,MATCH(B29,Roadmap!$A$5:$A$11,0)),"")</f>
        <v>AI Layer (NLP + LLM)</v>
      </c>
      <c r="D29" s="22" t="s">
        <v>257</v>
      </c>
      <c r="E29" s="22" t="s">
        <v>258</v>
      </c>
      <c r="F29" s="24" t="s">
        <v>196</v>
      </c>
      <c r="G29" s="38"/>
      <c r="H29" s="39" t="s">
        <v>154</v>
      </c>
      <c r="I29" s="39" t="n">
        <v>16</v>
      </c>
      <c r="J29" s="39" t="n">
        <v>6</v>
      </c>
      <c r="K29" s="39" t="n">
        <v>1</v>
      </c>
      <c r="L29" s="23" t="n">
        <f aca="false">Overview!$B$10+ROUND((J29-1)*7,0)</f>
        <v>46349</v>
      </c>
      <c r="M29" s="23" t="n">
        <f aca="false">L29+MAX(ROUND(K29*7,0),1)-1</f>
        <v>46355</v>
      </c>
      <c r="N29" s="24" t="s">
        <v>193</v>
      </c>
      <c r="O29" s="39" t="s">
        <v>155</v>
      </c>
      <c r="P29" s="40" t="n">
        <v>0</v>
      </c>
      <c r="Q29" s="22" t="s">
        <v>259</v>
      </c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</row>
    <row r="30" customFormat="false" ht="30" hidden="false" customHeight="true" outlineLevel="0" collapsed="false">
      <c r="A30" s="26" t="s">
        <v>260</v>
      </c>
      <c r="B30" s="29" t="s">
        <v>92</v>
      </c>
      <c r="C30" s="27" t="str">
        <f aca="false">IFERROR(INDEX(Roadmap!$B$5:$B$11,MATCH(B30,Roadmap!$A$5:$A$11,0)),"")</f>
        <v>AI Layer (NLP + LLM)</v>
      </c>
      <c r="D30" s="27" t="s">
        <v>261</v>
      </c>
      <c r="E30" s="27" t="s">
        <v>262</v>
      </c>
      <c r="F30" s="29" t="s">
        <v>196</v>
      </c>
      <c r="G30" s="42"/>
      <c r="H30" s="43" t="s">
        <v>164</v>
      </c>
      <c r="I30" s="43" t="n">
        <v>12</v>
      </c>
      <c r="J30" s="43" t="n">
        <v>6</v>
      </c>
      <c r="K30" s="43" t="n">
        <v>1</v>
      </c>
      <c r="L30" s="28" t="n">
        <f aca="false">Overview!$B$10+ROUND((J30-1)*7,0)</f>
        <v>46349</v>
      </c>
      <c r="M30" s="28" t="n">
        <f aca="false">L30+MAX(ROUND(K30*7,0),1)-1</f>
        <v>46355</v>
      </c>
      <c r="N30" s="29" t="s">
        <v>193</v>
      </c>
      <c r="O30" s="43" t="s">
        <v>155</v>
      </c>
      <c r="P30" s="44" t="n">
        <v>0</v>
      </c>
      <c r="Q30" s="27" t="s">
        <v>263</v>
      </c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</row>
    <row r="31" customFormat="false" ht="30" hidden="false" customHeight="true" outlineLevel="0" collapsed="false">
      <c r="A31" s="21" t="s">
        <v>264</v>
      </c>
      <c r="B31" s="24" t="s">
        <v>92</v>
      </c>
      <c r="C31" s="22" t="str">
        <f aca="false">IFERROR(INDEX(Roadmap!$B$5:$B$11,MATCH(B31,Roadmap!$A$5:$A$11,0)),"")</f>
        <v>AI Layer (NLP + LLM)</v>
      </c>
      <c r="D31" s="22" t="s">
        <v>265</v>
      </c>
      <c r="E31" s="22" t="s">
        <v>266</v>
      </c>
      <c r="F31" s="24" t="s">
        <v>196</v>
      </c>
      <c r="G31" s="38"/>
      <c r="H31" s="39" t="s">
        <v>154</v>
      </c>
      <c r="I31" s="39" t="n">
        <v>8</v>
      </c>
      <c r="J31" s="39" t="n">
        <v>6</v>
      </c>
      <c r="K31" s="39" t="n">
        <v>1</v>
      </c>
      <c r="L31" s="23" t="n">
        <f aca="false">Overview!$B$10+ROUND((J31-1)*7,0)</f>
        <v>46349</v>
      </c>
      <c r="M31" s="23" t="n">
        <f aca="false">L31+MAX(ROUND(K31*7,0),1)-1</f>
        <v>46355</v>
      </c>
      <c r="N31" s="24" t="s">
        <v>256</v>
      </c>
      <c r="O31" s="39" t="s">
        <v>155</v>
      </c>
      <c r="P31" s="40" t="n">
        <v>0</v>
      </c>
      <c r="Q31" s="22" t="s">
        <v>267</v>
      </c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</row>
    <row r="32" customFormat="false" ht="30" hidden="false" customHeight="true" outlineLevel="0" collapsed="false">
      <c r="A32" s="26" t="s">
        <v>268</v>
      </c>
      <c r="B32" s="29" t="s">
        <v>92</v>
      </c>
      <c r="C32" s="27" t="str">
        <f aca="false">IFERROR(INDEX(Roadmap!$B$5:$B$11,MATCH(B32,Roadmap!$A$5:$A$11,0)),"")</f>
        <v>AI Layer (NLP + LLM)</v>
      </c>
      <c r="D32" s="27" t="s">
        <v>269</v>
      </c>
      <c r="E32" s="27" t="s">
        <v>270</v>
      </c>
      <c r="F32" s="29" t="s">
        <v>196</v>
      </c>
      <c r="G32" s="42"/>
      <c r="H32" s="43" t="s">
        <v>154</v>
      </c>
      <c r="I32" s="43" t="n">
        <v>20</v>
      </c>
      <c r="J32" s="43" t="n">
        <v>7</v>
      </c>
      <c r="K32" s="43" t="n">
        <v>1.5</v>
      </c>
      <c r="L32" s="28" t="n">
        <f aca="false">Overview!$B$10+ROUND((J32-1)*7,0)</f>
        <v>46356</v>
      </c>
      <c r="M32" s="28" t="n">
        <f aca="false">L32+MAX(ROUND(K32*7,0),1)-1</f>
        <v>46366</v>
      </c>
      <c r="N32" s="29" t="s">
        <v>264</v>
      </c>
      <c r="O32" s="43" t="s">
        <v>155</v>
      </c>
      <c r="P32" s="44" t="n">
        <v>0</v>
      </c>
      <c r="Q32" s="27" t="s">
        <v>271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</row>
    <row r="33" customFormat="false" ht="30" hidden="false" customHeight="true" outlineLevel="0" collapsed="false">
      <c r="A33" s="21" t="s">
        <v>272</v>
      </c>
      <c r="B33" s="24" t="s">
        <v>92</v>
      </c>
      <c r="C33" s="22" t="str">
        <f aca="false">IFERROR(INDEX(Roadmap!$B$5:$B$11,MATCH(B33,Roadmap!$A$5:$A$11,0)),"")</f>
        <v>AI Layer (NLP + LLM)</v>
      </c>
      <c r="D33" s="22" t="s">
        <v>273</v>
      </c>
      <c r="E33" s="22" t="s">
        <v>274</v>
      </c>
      <c r="F33" s="24" t="s">
        <v>196</v>
      </c>
      <c r="G33" s="38"/>
      <c r="H33" s="39" t="s">
        <v>154</v>
      </c>
      <c r="I33" s="39" t="n">
        <v>16</v>
      </c>
      <c r="J33" s="39" t="n">
        <v>7</v>
      </c>
      <c r="K33" s="39" t="n">
        <v>1.5</v>
      </c>
      <c r="L33" s="23" t="n">
        <f aca="false">Overview!$B$10+ROUND((J33-1)*7,0)</f>
        <v>46356</v>
      </c>
      <c r="M33" s="23" t="n">
        <f aca="false">L33+MAX(ROUND(K33*7,0),1)-1</f>
        <v>46366</v>
      </c>
      <c r="N33" s="24" t="s">
        <v>264</v>
      </c>
      <c r="O33" s="39" t="s">
        <v>155</v>
      </c>
      <c r="P33" s="40" t="n">
        <v>0</v>
      </c>
      <c r="Q33" s="22" t="s">
        <v>275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customFormat="false" ht="30" hidden="false" customHeight="true" outlineLevel="0" collapsed="false">
      <c r="A34" s="26" t="s">
        <v>276</v>
      </c>
      <c r="B34" s="29" t="s">
        <v>92</v>
      </c>
      <c r="C34" s="27" t="str">
        <f aca="false">IFERROR(INDEX(Roadmap!$B$5:$B$11,MATCH(B34,Roadmap!$A$5:$A$11,0)),"")</f>
        <v>AI Layer (NLP + LLM)</v>
      </c>
      <c r="D34" s="27" t="s">
        <v>277</v>
      </c>
      <c r="E34" s="27" t="s">
        <v>278</v>
      </c>
      <c r="F34" s="29" t="s">
        <v>196</v>
      </c>
      <c r="G34" s="42"/>
      <c r="H34" s="43" t="s">
        <v>154</v>
      </c>
      <c r="I34" s="43" t="n">
        <v>16</v>
      </c>
      <c r="J34" s="43" t="n">
        <v>7</v>
      </c>
      <c r="K34" s="43" t="n">
        <v>1.5</v>
      </c>
      <c r="L34" s="28" t="n">
        <f aca="false">Overview!$B$10+ROUND((J34-1)*7,0)</f>
        <v>46356</v>
      </c>
      <c r="M34" s="28" t="n">
        <f aca="false">L34+MAX(ROUND(K34*7,0),1)-1</f>
        <v>46366</v>
      </c>
      <c r="N34" s="29" t="s">
        <v>264</v>
      </c>
      <c r="O34" s="43" t="s">
        <v>155</v>
      </c>
      <c r="P34" s="44" t="n">
        <v>0</v>
      </c>
      <c r="Q34" s="27" t="s">
        <v>279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customFormat="false" ht="30" hidden="false" customHeight="true" outlineLevel="0" collapsed="false">
      <c r="A35" s="21" t="s">
        <v>280</v>
      </c>
      <c r="B35" s="24" t="s">
        <v>92</v>
      </c>
      <c r="C35" s="22" t="str">
        <f aca="false">IFERROR(INDEX(Roadmap!$B$5:$B$11,MATCH(B35,Roadmap!$A$5:$A$11,0)),"")</f>
        <v>AI Layer (NLP + LLM)</v>
      </c>
      <c r="D35" s="22" t="s">
        <v>281</v>
      </c>
      <c r="E35" s="22" t="s">
        <v>282</v>
      </c>
      <c r="F35" s="24" t="s">
        <v>196</v>
      </c>
      <c r="G35" s="38"/>
      <c r="H35" s="39" t="s">
        <v>154</v>
      </c>
      <c r="I35" s="39" t="n">
        <v>8</v>
      </c>
      <c r="J35" s="39" t="n">
        <v>8</v>
      </c>
      <c r="K35" s="39" t="n">
        <v>1</v>
      </c>
      <c r="L35" s="23" t="n">
        <f aca="false">Overview!$B$10+ROUND((J35-1)*7,0)</f>
        <v>46363</v>
      </c>
      <c r="M35" s="23" t="n">
        <f aca="false">L35+MAX(ROUND(K35*7,0),1)-1</f>
        <v>46369</v>
      </c>
      <c r="N35" s="24" t="s">
        <v>283</v>
      </c>
      <c r="O35" s="39" t="s">
        <v>155</v>
      </c>
      <c r="P35" s="40" t="n">
        <v>0</v>
      </c>
      <c r="Q35" s="22" t="s">
        <v>284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customFormat="false" ht="30" hidden="false" customHeight="true" outlineLevel="0" collapsed="false">
      <c r="A36" s="26" t="s">
        <v>285</v>
      </c>
      <c r="B36" s="29" t="s">
        <v>92</v>
      </c>
      <c r="C36" s="27" t="str">
        <f aca="false">IFERROR(INDEX(Roadmap!$B$5:$B$11,MATCH(B36,Roadmap!$A$5:$A$11,0)),"")</f>
        <v>AI Layer (NLP + LLM)</v>
      </c>
      <c r="D36" s="27" t="s">
        <v>286</v>
      </c>
      <c r="E36" s="27" t="s">
        <v>287</v>
      </c>
      <c r="F36" s="29" t="s">
        <v>196</v>
      </c>
      <c r="G36" s="42"/>
      <c r="H36" s="43" t="s">
        <v>164</v>
      </c>
      <c r="I36" s="43" t="n">
        <v>12</v>
      </c>
      <c r="J36" s="43" t="n">
        <v>8</v>
      </c>
      <c r="K36" s="43" t="n">
        <v>1</v>
      </c>
      <c r="L36" s="28" t="n">
        <f aca="false">Overview!$B$10+ROUND((J36-1)*7,0)</f>
        <v>46363</v>
      </c>
      <c r="M36" s="28" t="n">
        <f aca="false">L36+MAX(ROUND(K36*7,0),1)-1</f>
        <v>46369</v>
      </c>
      <c r="N36" s="29" t="s">
        <v>268</v>
      </c>
      <c r="O36" s="43" t="s">
        <v>155</v>
      </c>
      <c r="P36" s="44" t="n">
        <v>0</v>
      </c>
      <c r="Q36" s="27" t="s">
        <v>288</v>
      </c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customFormat="false" ht="30" hidden="false" customHeight="true" outlineLevel="0" collapsed="false">
      <c r="A37" s="21" t="s">
        <v>289</v>
      </c>
      <c r="B37" s="24" t="s">
        <v>92</v>
      </c>
      <c r="C37" s="22" t="str">
        <f aca="false">IFERROR(INDEX(Roadmap!$B$5:$B$11,MATCH(B37,Roadmap!$A$5:$A$11,0)),"")</f>
        <v>AI Layer (NLP + LLM)</v>
      </c>
      <c r="D37" s="22" t="s">
        <v>290</v>
      </c>
      <c r="E37" s="22" t="s">
        <v>291</v>
      </c>
      <c r="F37" s="24" t="s">
        <v>173</v>
      </c>
      <c r="G37" s="38"/>
      <c r="H37" s="39" t="s">
        <v>154</v>
      </c>
      <c r="I37" s="39" t="n">
        <v>16</v>
      </c>
      <c r="J37" s="39" t="n">
        <v>7</v>
      </c>
      <c r="K37" s="39" t="n">
        <v>2</v>
      </c>
      <c r="L37" s="23" t="n">
        <f aca="false">Overview!$B$10+ROUND((J37-1)*7,0)</f>
        <v>46356</v>
      </c>
      <c r="M37" s="23" t="n">
        <f aca="false">L37+MAX(ROUND(K37*7,0),1)-1</f>
        <v>46369</v>
      </c>
      <c r="N37" s="24" t="s">
        <v>292</v>
      </c>
      <c r="O37" s="39" t="s">
        <v>155</v>
      </c>
      <c r="P37" s="40" t="n">
        <v>0</v>
      </c>
      <c r="Q37" s="22" t="s">
        <v>293</v>
      </c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customFormat="false" ht="30" hidden="false" customHeight="true" outlineLevel="0" collapsed="false">
      <c r="A38" s="26" t="s">
        <v>294</v>
      </c>
      <c r="B38" s="29" t="s">
        <v>92</v>
      </c>
      <c r="C38" s="27" t="str">
        <f aca="false">IFERROR(INDEX(Roadmap!$B$5:$B$11,MATCH(B38,Roadmap!$A$5:$A$11,0)),"")</f>
        <v>AI Layer (NLP + LLM)</v>
      </c>
      <c r="D38" s="27" t="s">
        <v>295</v>
      </c>
      <c r="E38" s="27" t="s">
        <v>296</v>
      </c>
      <c r="F38" s="29" t="s">
        <v>196</v>
      </c>
      <c r="G38" s="42"/>
      <c r="H38" s="43" t="s">
        <v>164</v>
      </c>
      <c r="I38" s="43" t="n">
        <v>12</v>
      </c>
      <c r="J38" s="43" t="n">
        <v>8</v>
      </c>
      <c r="K38" s="43" t="n">
        <v>1</v>
      </c>
      <c r="L38" s="28" t="n">
        <f aca="false">Overview!$B$10+ROUND((J38-1)*7,0)</f>
        <v>46363</v>
      </c>
      <c r="M38" s="28" t="n">
        <f aca="false">L38+MAX(ROUND(K38*7,0),1)-1</f>
        <v>46369</v>
      </c>
      <c r="N38" s="29" t="s">
        <v>289</v>
      </c>
      <c r="O38" s="43" t="s">
        <v>155</v>
      </c>
      <c r="P38" s="44" t="n">
        <v>0</v>
      </c>
      <c r="Q38" s="27" t="s">
        <v>297</v>
      </c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customFormat="false" ht="30" hidden="false" customHeight="true" outlineLevel="0" collapsed="false">
      <c r="A39" s="21" t="s">
        <v>298</v>
      </c>
      <c r="B39" s="24" t="s">
        <v>92</v>
      </c>
      <c r="C39" s="22" t="str">
        <f aca="false">IFERROR(INDEX(Roadmap!$B$5:$B$11,MATCH(B39,Roadmap!$A$5:$A$11,0)),"")</f>
        <v>AI Layer (NLP + LLM)</v>
      </c>
      <c r="D39" s="22" t="s">
        <v>299</v>
      </c>
      <c r="E39" s="22" t="s">
        <v>300</v>
      </c>
      <c r="F39" s="24" t="s">
        <v>242</v>
      </c>
      <c r="G39" s="38"/>
      <c r="H39" s="39" t="s">
        <v>154</v>
      </c>
      <c r="I39" s="39" t="n">
        <v>8</v>
      </c>
      <c r="J39" s="39" t="n">
        <v>8</v>
      </c>
      <c r="K39" s="39" t="n">
        <v>1</v>
      </c>
      <c r="L39" s="23" t="n">
        <f aca="false">Overview!$B$10+ROUND((J39-1)*7,0)</f>
        <v>46363</v>
      </c>
      <c r="M39" s="23" t="n">
        <f aca="false">L39+MAX(ROUND(K39*7,0),1)-1</f>
        <v>46369</v>
      </c>
      <c r="N39" s="24" t="s">
        <v>289</v>
      </c>
      <c r="O39" s="39" t="s">
        <v>155</v>
      </c>
      <c r="P39" s="40" t="n">
        <v>0</v>
      </c>
      <c r="Q39" s="22" t="s">
        <v>301</v>
      </c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customFormat="false" ht="30" hidden="false" customHeight="true" outlineLevel="0" collapsed="false">
      <c r="A40" s="26" t="s">
        <v>302</v>
      </c>
      <c r="B40" s="26" t="s">
        <v>92</v>
      </c>
      <c r="C40" s="45" t="str">
        <f aca="false">IFERROR(INDEX(Roadmap!$B$5:$B$11,MATCH(B40,Roadmap!$A$5:$A$11,0)),"")</f>
        <v>AI Layer (NLP + LLM)</v>
      </c>
      <c r="D40" s="45" t="s">
        <v>303</v>
      </c>
      <c r="E40" s="45" t="s">
        <v>304</v>
      </c>
      <c r="F40" s="26" t="s">
        <v>153</v>
      </c>
      <c r="G40" s="46"/>
      <c r="H40" s="47" t="s">
        <v>154</v>
      </c>
      <c r="I40" s="47" t="n">
        <v>4</v>
      </c>
      <c r="J40" s="47" t="n">
        <v>8.5</v>
      </c>
      <c r="K40" s="47" t="n">
        <v>0.5</v>
      </c>
      <c r="L40" s="48" t="n">
        <f aca="false">Overview!$B$10+ROUND((J40-1)*7,0)</f>
        <v>46367</v>
      </c>
      <c r="M40" s="48" t="n">
        <f aca="false">L40+MAX(ROUND(K40*7,0),1)-1</f>
        <v>46370</v>
      </c>
      <c r="N40" s="26" t="s">
        <v>305</v>
      </c>
      <c r="O40" s="47" t="s">
        <v>155</v>
      </c>
      <c r="P40" s="49" t="n">
        <v>0</v>
      </c>
      <c r="Q40" s="45" t="s">
        <v>306</v>
      </c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</row>
    <row r="41" customFormat="false" ht="30" hidden="false" customHeight="true" outlineLevel="0" collapsed="false">
      <c r="A41" s="21" t="s">
        <v>307</v>
      </c>
      <c r="B41" s="24" t="s">
        <v>97</v>
      </c>
      <c r="C41" s="22" t="str">
        <f aca="false">IFERROR(INDEX(Roadmap!$B$5:$B$11,MATCH(B41,Roadmap!$A$5:$A$11,0)),"")</f>
        <v>Intelligent Engine</v>
      </c>
      <c r="D41" s="22" t="s">
        <v>308</v>
      </c>
      <c r="E41" s="22" t="s">
        <v>309</v>
      </c>
      <c r="F41" s="24" t="s">
        <v>196</v>
      </c>
      <c r="G41" s="38"/>
      <c r="H41" s="39" t="s">
        <v>154</v>
      </c>
      <c r="I41" s="39" t="n">
        <v>12</v>
      </c>
      <c r="J41" s="39" t="n">
        <v>9</v>
      </c>
      <c r="K41" s="39" t="n">
        <v>1</v>
      </c>
      <c r="L41" s="23" t="n">
        <f aca="false">Overview!$B$10+ROUND((J41-1)*7,0)</f>
        <v>46370</v>
      </c>
      <c r="M41" s="23" t="n">
        <f aca="false">L41+MAX(ROUND(K41*7,0),1)-1</f>
        <v>46376</v>
      </c>
      <c r="N41" s="24" t="s">
        <v>289</v>
      </c>
      <c r="O41" s="39" t="s">
        <v>155</v>
      </c>
      <c r="P41" s="40" t="n">
        <v>0</v>
      </c>
      <c r="Q41" s="22" t="s">
        <v>310</v>
      </c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</row>
    <row r="42" customFormat="false" ht="30" hidden="false" customHeight="true" outlineLevel="0" collapsed="false">
      <c r="A42" s="26" t="s">
        <v>311</v>
      </c>
      <c r="B42" s="29" t="s">
        <v>97</v>
      </c>
      <c r="C42" s="27" t="str">
        <f aca="false">IFERROR(INDEX(Roadmap!$B$5:$B$11,MATCH(B42,Roadmap!$A$5:$A$11,0)),"")</f>
        <v>Intelligent Engine</v>
      </c>
      <c r="D42" s="27" t="s">
        <v>312</v>
      </c>
      <c r="E42" s="27" t="s">
        <v>313</v>
      </c>
      <c r="F42" s="29" t="s">
        <v>196</v>
      </c>
      <c r="G42" s="42"/>
      <c r="H42" s="43" t="s">
        <v>154</v>
      </c>
      <c r="I42" s="43" t="n">
        <v>16</v>
      </c>
      <c r="J42" s="43" t="n">
        <v>9.5</v>
      </c>
      <c r="K42" s="43" t="n">
        <v>1.5</v>
      </c>
      <c r="L42" s="28" t="n">
        <f aca="false">Overview!$B$10+ROUND((J42-1)*7,0)</f>
        <v>46374</v>
      </c>
      <c r="M42" s="28" t="n">
        <f aca="false">L42+MAX(ROUND(K42*7,0),1)-1</f>
        <v>46384</v>
      </c>
      <c r="N42" s="29" t="s">
        <v>307</v>
      </c>
      <c r="O42" s="43" t="s">
        <v>155</v>
      </c>
      <c r="P42" s="44" t="n">
        <v>0</v>
      </c>
      <c r="Q42" s="27" t="s">
        <v>314</v>
      </c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</row>
    <row r="43" customFormat="false" ht="30" hidden="false" customHeight="true" outlineLevel="0" collapsed="false">
      <c r="A43" s="21" t="s">
        <v>315</v>
      </c>
      <c r="B43" s="24" t="s">
        <v>97</v>
      </c>
      <c r="C43" s="22" t="str">
        <f aca="false">IFERROR(INDEX(Roadmap!$B$5:$B$11,MATCH(B43,Roadmap!$A$5:$A$11,0)),"")</f>
        <v>Intelligent Engine</v>
      </c>
      <c r="D43" s="22" t="s">
        <v>316</v>
      </c>
      <c r="E43" s="22" t="s">
        <v>317</v>
      </c>
      <c r="F43" s="24" t="s">
        <v>196</v>
      </c>
      <c r="G43" s="38"/>
      <c r="H43" s="39" t="s">
        <v>164</v>
      </c>
      <c r="I43" s="39" t="n">
        <v>8</v>
      </c>
      <c r="J43" s="39" t="n">
        <v>11</v>
      </c>
      <c r="K43" s="39" t="n">
        <v>0.5</v>
      </c>
      <c r="L43" s="23" t="n">
        <f aca="false">Overview!$B$10+ROUND((J43-1)*7,0)</f>
        <v>46384</v>
      </c>
      <c r="M43" s="23" t="n">
        <f aca="false">L43+MAX(ROUND(K43*7,0),1)-1</f>
        <v>46387</v>
      </c>
      <c r="N43" s="24" t="s">
        <v>311</v>
      </c>
      <c r="O43" s="39" t="s">
        <v>155</v>
      </c>
      <c r="P43" s="40" t="n">
        <v>0</v>
      </c>
      <c r="Q43" s="22" t="s">
        <v>318</v>
      </c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</row>
    <row r="44" customFormat="false" ht="30" hidden="false" customHeight="true" outlineLevel="0" collapsed="false">
      <c r="A44" s="26" t="s">
        <v>319</v>
      </c>
      <c r="B44" s="29" t="s">
        <v>97</v>
      </c>
      <c r="C44" s="27" t="str">
        <f aca="false">IFERROR(INDEX(Roadmap!$B$5:$B$11,MATCH(B44,Roadmap!$A$5:$A$11,0)),"")</f>
        <v>Intelligent Engine</v>
      </c>
      <c r="D44" s="27" t="s">
        <v>320</v>
      </c>
      <c r="E44" s="27" t="s">
        <v>321</v>
      </c>
      <c r="F44" s="29" t="s">
        <v>173</v>
      </c>
      <c r="G44" s="42"/>
      <c r="H44" s="43" t="s">
        <v>154</v>
      </c>
      <c r="I44" s="43" t="n">
        <v>12</v>
      </c>
      <c r="J44" s="43" t="n">
        <v>9</v>
      </c>
      <c r="K44" s="43" t="n">
        <v>1</v>
      </c>
      <c r="L44" s="28" t="n">
        <f aca="false">Overview!$B$10+ROUND((J44-1)*7,0)</f>
        <v>46370</v>
      </c>
      <c r="M44" s="28" t="n">
        <f aca="false">L44+MAX(ROUND(K44*7,0),1)-1</f>
        <v>46376</v>
      </c>
      <c r="N44" s="29" t="s">
        <v>276</v>
      </c>
      <c r="O44" s="43" t="s">
        <v>155</v>
      </c>
      <c r="P44" s="44" t="n">
        <v>0</v>
      </c>
      <c r="Q44" s="27" t="s">
        <v>322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</row>
    <row r="45" customFormat="false" ht="30" hidden="false" customHeight="true" outlineLevel="0" collapsed="false">
      <c r="A45" s="21" t="s">
        <v>323</v>
      </c>
      <c r="B45" s="24" t="s">
        <v>97</v>
      </c>
      <c r="C45" s="22" t="str">
        <f aca="false">IFERROR(INDEX(Roadmap!$B$5:$B$11,MATCH(B45,Roadmap!$A$5:$A$11,0)),"")</f>
        <v>Intelligent Engine</v>
      </c>
      <c r="D45" s="22" t="s">
        <v>324</v>
      </c>
      <c r="E45" s="22" t="s">
        <v>325</v>
      </c>
      <c r="F45" s="24" t="s">
        <v>173</v>
      </c>
      <c r="G45" s="38"/>
      <c r="H45" s="39" t="s">
        <v>154</v>
      </c>
      <c r="I45" s="39" t="n">
        <v>14</v>
      </c>
      <c r="J45" s="39" t="n">
        <v>10</v>
      </c>
      <c r="K45" s="39" t="n">
        <v>1</v>
      </c>
      <c r="L45" s="23" t="n">
        <f aca="false">Overview!$B$10+ROUND((J45-1)*7,0)</f>
        <v>46377</v>
      </c>
      <c r="M45" s="23" t="n">
        <f aca="false">L45+MAX(ROUND(K45*7,0),1)-1</f>
        <v>46383</v>
      </c>
      <c r="N45" s="24" t="s">
        <v>326</v>
      </c>
      <c r="O45" s="39" t="s">
        <v>155</v>
      </c>
      <c r="P45" s="40" t="n">
        <v>0</v>
      </c>
      <c r="Q45" s="22" t="s">
        <v>327</v>
      </c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customFormat="false" ht="30" hidden="false" customHeight="true" outlineLevel="0" collapsed="false">
      <c r="A46" s="26" t="s">
        <v>328</v>
      </c>
      <c r="B46" s="29" t="s">
        <v>97</v>
      </c>
      <c r="C46" s="27" t="str">
        <f aca="false">IFERROR(INDEX(Roadmap!$B$5:$B$11,MATCH(B46,Roadmap!$A$5:$A$11,0)),"")</f>
        <v>Intelligent Engine</v>
      </c>
      <c r="D46" s="27" t="s">
        <v>329</v>
      </c>
      <c r="E46" s="27" t="s">
        <v>330</v>
      </c>
      <c r="F46" s="29" t="s">
        <v>173</v>
      </c>
      <c r="G46" s="42"/>
      <c r="H46" s="43" t="s">
        <v>154</v>
      </c>
      <c r="I46" s="43" t="n">
        <v>8</v>
      </c>
      <c r="J46" s="43" t="n">
        <v>10.5</v>
      </c>
      <c r="K46" s="43" t="n">
        <v>0.5</v>
      </c>
      <c r="L46" s="28" t="n">
        <f aca="false">Overview!$B$10+ROUND((J46-1)*7,0)</f>
        <v>46381</v>
      </c>
      <c r="M46" s="28" t="n">
        <f aca="false">L46+MAX(ROUND(K46*7,0),1)-1</f>
        <v>46384</v>
      </c>
      <c r="N46" s="29" t="s">
        <v>323</v>
      </c>
      <c r="O46" s="43" t="s">
        <v>155</v>
      </c>
      <c r="P46" s="44" t="n">
        <v>0</v>
      </c>
      <c r="Q46" s="27" t="s">
        <v>331</v>
      </c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customFormat="false" ht="30" hidden="false" customHeight="true" outlineLevel="0" collapsed="false">
      <c r="A47" s="21" t="s">
        <v>332</v>
      </c>
      <c r="B47" s="24" t="s">
        <v>97</v>
      </c>
      <c r="C47" s="22" t="str">
        <f aca="false">IFERROR(INDEX(Roadmap!$B$5:$B$11,MATCH(B47,Roadmap!$A$5:$A$11,0)),"")</f>
        <v>Intelligent Engine</v>
      </c>
      <c r="D47" s="22" t="s">
        <v>333</v>
      </c>
      <c r="E47" s="22" t="s">
        <v>334</v>
      </c>
      <c r="F47" s="24" t="s">
        <v>196</v>
      </c>
      <c r="G47" s="38"/>
      <c r="H47" s="39" t="s">
        <v>154</v>
      </c>
      <c r="I47" s="39" t="n">
        <v>20</v>
      </c>
      <c r="J47" s="39" t="n">
        <v>10</v>
      </c>
      <c r="K47" s="39" t="n">
        <v>1.5</v>
      </c>
      <c r="L47" s="23" t="n">
        <f aca="false">Overview!$B$10+ROUND((J47-1)*7,0)</f>
        <v>46377</v>
      </c>
      <c r="M47" s="23" t="n">
        <f aca="false">L47+MAX(ROUND(K47*7,0),1)-1</f>
        <v>46387</v>
      </c>
      <c r="N47" s="24" t="s">
        <v>335</v>
      </c>
      <c r="O47" s="39" t="s">
        <v>155</v>
      </c>
      <c r="P47" s="40" t="n">
        <v>0</v>
      </c>
      <c r="Q47" s="22" t="s">
        <v>336</v>
      </c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</row>
    <row r="48" customFormat="false" ht="30" hidden="false" customHeight="true" outlineLevel="0" collapsed="false">
      <c r="A48" s="26" t="s">
        <v>337</v>
      </c>
      <c r="B48" s="29" t="s">
        <v>97</v>
      </c>
      <c r="C48" s="27" t="str">
        <f aca="false">IFERROR(INDEX(Roadmap!$B$5:$B$11,MATCH(B48,Roadmap!$A$5:$A$11,0)),"")</f>
        <v>Intelligent Engine</v>
      </c>
      <c r="D48" s="27" t="s">
        <v>338</v>
      </c>
      <c r="E48" s="27" t="s">
        <v>339</v>
      </c>
      <c r="F48" s="29" t="s">
        <v>242</v>
      </c>
      <c r="G48" s="42"/>
      <c r="H48" s="43" t="s">
        <v>154</v>
      </c>
      <c r="I48" s="43" t="n">
        <v>14</v>
      </c>
      <c r="J48" s="43" t="n">
        <v>11</v>
      </c>
      <c r="K48" s="43" t="n">
        <v>1</v>
      </c>
      <c r="L48" s="28" t="n">
        <f aca="false">Overview!$B$10+ROUND((J48-1)*7,0)</f>
        <v>46384</v>
      </c>
      <c r="M48" s="28" t="n">
        <f aca="false">L48+MAX(ROUND(K48*7,0),1)-1</f>
        <v>46390</v>
      </c>
      <c r="N48" s="29" t="s">
        <v>332</v>
      </c>
      <c r="O48" s="43" t="s">
        <v>155</v>
      </c>
      <c r="P48" s="44" t="n">
        <v>0</v>
      </c>
      <c r="Q48" s="27" t="s">
        <v>340</v>
      </c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</row>
    <row r="49" customFormat="false" ht="30" hidden="false" customHeight="true" outlineLevel="0" collapsed="false">
      <c r="A49" s="21" t="s">
        <v>341</v>
      </c>
      <c r="B49" s="24" t="s">
        <v>97</v>
      </c>
      <c r="C49" s="22" t="str">
        <f aca="false">IFERROR(INDEX(Roadmap!$B$5:$B$11,MATCH(B49,Roadmap!$A$5:$A$11,0)),"")</f>
        <v>Intelligent Engine</v>
      </c>
      <c r="D49" s="22" t="s">
        <v>342</v>
      </c>
      <c r="E49" s="22" t="s">
        <v>343</v>
      </c>
      <c r="F49" s="24" t="s">
        <v>225</v>
      </c>
      <c r="G49" s="38"/>
      <c r="H49" s="39" t="s">
        <v>164</v>
      </c>
      <c r="I49" s="39" t="n">
        <v>14</v>
      </c>
      <c r="J49" s="39" t="n">
        <v>11</v>
      </c>
      <c r="K49" s="39" t="n">
        <v>1.5</v>
      </c>
      <c r="L49" s="23" t="n">
        <f aca="false">Overview!$B$10+ROUND((J49-1)*7,0)</f>
        <v>46384</v>
      </c>
      <c r="M49" s="23" t="n">
        <f aca="false">L49+MAX(ROUND(K49*7,0),1)-1</f>
        <v>46394</v>
      </c>
      <c r="N49" s="24" t="s">
        <v>337</v>
      </c>
      <c r="O49" s="39" t="s">
        <v>155</v>
      </c>
      <c r="P49" s="40" t="n">
        <v>0</v>
      </c>
      <c r="Q49" s="22" t="s">
        <v>344</v>
      </c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 customFormat="false" ht="30" hidden="false" customHeight="true" outlineLevel="0" collapsed="false">
      <c r="A50" s="26" t="s">
        <v>345</v>
      </c>
      <c r="B50" s="29" t="s">
        <v>97</v>
      </c>
      <c r="C50" s="27" t="str">
        <f aca="false">IFERROR(INDEX(Roadmap!$B$5:$B$11,MATCH(B50,Roadmap!$A$5:$A$11,0)),"")</f>
        <v>Intelligent Engine</v>
      </c>
      <c r="D50" s="27" t="s">
        <v>346</v>
      </c>
      <c r="E50" s="27" t="s">
        <v>347</v>
      </c>
      <c r="F50" s="29" t="s">
        <v>196</v>
      </c>
      <c r="G50" s="42"/>
      <c r="H50" s="43" t="s">
        <v>164</v>
      </c>
      <c r="I50" s="43" t="n">
        <v>10</v>
      </c>
      <c r="J50" s="43" t="n">
        <v>9</v>
      </c>
      <c r="K50" s="43" t="n">
        <v>1</v>
      </c>
      <c r="L50" s="28" t="n">
        <f aca="false">Overview!$B$10+ROUND((J50-1)*7,0)</f>
        <v>46370</v>
      </c>
      <c r="M50" s="28" t="n">
        <f aca="false">L50+MAX(ROUND(K50*7,0),1)-1</f>
        <v>46376</v>
      </c>
      <c r="N50" s="29" t="s">
        <v>260</v>
      </c>
      <c r="O50" s="43" t="s">
        <v>155</v>
      </c>
      <c r="P50" s="44" t="n">
        <v>0</v>
      </c>
      <c r="Q50" s="27" t="s">
        <v>348</v>
      </c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 customFormat="false" ht="30" hidden="false" customHeight="true" outlineLevel="0" collapsed="false">
      <c r="A51" s="21" t="s">
        <v>349</v>
      </c>
      <c r="B51" s="24" t="s">
        <v>97</v>
      </c>
      <c r="C51" s="22" t="str">
        <f aca="false">IFERROR(INDEX(Roadmap!$B$5:$B$11,MATCH(B51,Roadmap!$A$5:$A$11,0)),"")</f>
        <v>Intelligent Engine</v>
      </c>
      <c r="D51" s="22" t="s">
        <v>350</v>
      </c>
      <c r="E51" s="22" t="s">
        <v>351</v>
      </c>
      <c r="F51" s="24" t="s">
        <v>173</v>
      </c>
      <c r="G51" s="38"/>
      <c r="H51" s="39" t="s">
        <v>154</v>
      </c>
      <c r="I51" s="39" t="n">
        <v>10</v>
      </c>
      <c r="J51" s="39" t="n">
        <v>11</v>
      </c>
      <c r="K51" s="39" t="n">
        <v>1</v>
      </c>
      <c r="L51" s="23" t="n">
        <f aca="false">Overview!$B$10+ROUND((J51-1)*7,0)</f>
        <v>46384</v>
      </c>
      <c r="M51" s="23" t="n">
        <f aca="false">L51+MAX(ROUND(K51*7,0),1)-1</f>
        <v>46390</v>
      </c>
      <c r="N51" s="24" t="s">
        <v>352</v>
      </c>
      <c r="O51" s="39" t="s">
        <v>155</v>
      </c>
      <c r="P51" s="40" t="n">
        <v>0</v>
      </c>
      <c r="Q51" s="22" t="s">
        <v>353</v>
      </c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 customFormat="false" ht="18" hidden="false" customHeight="true" outlineLevel="0" collapsed="false">
      <c r="A52" s="26" t="s">
        <v>354</v>
      </c>
      <c r="B52" s="26" t="s">
        <v>97</v>
      </c>
      <c r="C52" s="45" t="str">
        <f aca="false">IFERROR(INDEX(Roadmap!$B$5:$B$11,MATCH(B52,Roadmap!$A$5:$A$11,0)),"")</f>
        <v>Intelligent Engine</v>
      </c>
      <c r="D52" s="45" t="s">
        <v>355</v>
      </c>
      <c r="E52" s="45" t="s">
        <v>356</v>
      </c>
      <c r="F52" s="26" t="s">
        <v>153</v>
      </c>
      <c r="G52" s="46"/>
      <c r="H52" s="47" t="s">
        <v>154</v>
      </c>
      <c r="I52" s="47" t="n">
        <v>4</v>
      </c>
      <c r="J52" s="47" t="n">
        <v>11.5</v>
      </c>
      <c r="K52" s="47" t="n">
        <v>0.5</v>
      </c>
      <c r="L52" s="48" t="n">
        <f aca="false">Overview!$B$10+ROUND((J52-1)*7,0)</f>
        <v>46388</v>
      </c>
      <c r="M52" s="48" t="n">
        <f aca="false">L52+MAX(ROUND(K52*7,0),1)-1</f>
        <v>46391</v>
      </c>
      <c r="N52" s="26" t="s">
        <v>357</v>
      </c>
      <c r="O52" s="47" t="s">
        <v>155</v>
      </c>
      <c r="P52" s="49" t="n">
        <v>0</v>
      </c>
      <c r="Q52" s="45" t="s">
        <v>358</v>
      </c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</row>
    <row r="53" customFormat="false" ht="30" hidden="false" customHeight="true" outlineLevel="0" collapsed="false">
      <c r="A53" s="21" t="s">
        <v>359</v>
      </c>
      <c r="B53" s="24" t="s">
        <v>102</v>
      </c>
      <c r="C53" s="22" t="str">
        <f aca="false">IFERROR(INDEX(Roadmap!$B$5:$B$11,MATCH(B53,Roadmap!$A$5:$A$11,0)),"")</f>
        <v>Advanced Features</v>
      </c>
      <c r="D53" s="22" t="s">
        <v>360</v>
      </c>
      <c r="E53" s="22" t="s">
        <v>361</v>
      </c>
      <c r="F53" s="24" t="s">
        <v>173</v>
      </c>
      <c r="G53" s="38"/>
      <c r="H53" s="39" t="s">
        <v>154</v>
      </c>
      <c r="I53" s="39" t="n">
        <v>12</v>
      </c>
      <c r="J53" s="39" t="n">
        <v>12</v>
      </c>
      <c r="K53" s="39" t="n">
        <v>1</v>
      </c>
      <c r="L53" s="23" t="n">
        <f aca="false">Overview!$B$10+ROUND((J53-1)*7,0)</f>
        <v>46391</v>
      </c>
      <c r="M53" s="23" t="n">
        <f aca="false">L53+MAX(ROUND(K53*7,0),1)-1</f>
        <v>46397</v>
      </c>
      <c r="N53" s="24" t="s">
        <v>337</v>
      </c>
      <c r="O53" s="39" t="s">
        <v>155</v>
      </c>
      <c r="P53" s="40" t="n">
        <v>0</v>
      </c>
      <c r="Q53" s="22" t="s">
        <v>362</v>
      </c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</row>
    <row r="54" customFormat="false" ht="30" hidden="false" customHeight="true" outlineLevel="0" collapsed="false">
      <c r="A54" s="26" t="s">
        <v>363</v>
      </c>
      <c r="B54" s="29" t="s">
        <v>102</v>
      </c>
      <c r="C54" s="27" t="str">
        <f aca="false">IFERROR(INDEX(Roadmap!$B$5:$B$11,MATCH(B54,Roadmap!$A$5:$A$11,0)),"")</f>
        <v>Advanced Features</v>
      </c>
      <c r="D54" s="27" t="s">
        <v>364</v>
      </c>
      <c r="E54" s="27" t="s">
        <v>365</v>
      </c>
      <c r="F54" s="29" t="s">
        <v>225</v>
      </c>
      <c r="G54" s="42"/>
      <c r="H54" s="43" t="s">
        <v>154</v>
      </c>
      <c r="I54" s="43" t="n">
        <v>20</v>
      </c>
      <c r="J54" s="43" t="n">
        <v>12</v>
      </c>
      <c r="K54" s="43" t="n">
        <v>2</v>
      </c>
      <c r="L54" s="28" t="n">
        <f aca="false">Overview!$B$10+ROUND((J54-1)*7,0)</f>
        <v>46391</v>
      </c>
      <c r="M54" s="28" t="n">
        <f aca="false">L54+MAX(ROUND(K54*7,0),1)-1</f>
        <v>46404</v>
      </c>
      <c r="N54" s="29" t="s">
        <v>359</v>
      </c>
      <c r="O54" s="43" t="s">
        <v>155</v>
      </c>
      <c r="P54" s="44" t="n">
        <v>0</v>
      </c>
      <c r="Q54" s="27" t="s">
        <v>366</v>
      </c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</row>
    <row r="55" customFormat="false" ht="30" hidden="false" customHeight="true" outlineLevel="0" collapsed="false">
      <c r="A55" s="21" t="s">
        <v>367</v>
      </c>
      <c r="B55" s="24" t="s">
        <v>102</v>
      </c>
      <c r="C55" s="22" t="str">
        <f aca="false">IFERROR(INDEX(Roadmap!$B$5:$B$11,MATCH(B55,Roadmap!$A$5:$A$11,0)),"")</f>
        <v>Advanced Features</v>
      </c>
      <c r="D55" s="22" t="s">
        <v>368</v>
      </c>
      <c r="E55" s="22" t="s">
        <v>369</v>
      </c>
      <c r="F55" s="24" t="s">
        <v>196</v>
      </c>
      <c r="G55" s="38"/>
      <c r="H55" s="39" t="s">
        <v>164</v>
      </c>
      <c r="I55" s="39" t="n">
        <v>20</v>
      </c>
      <c r="J55" s="39" t="n">
        <v>12</v>
      </c>
      <c r="K55" s="39" t="n">
        <v>2</v>
      </c>
      <c r="L55" s="23" t="n">
        <f aca="false">Overview!$B$10+ROUND((J55-1)*7,0)</f>
        <v>46391</v>
      </c>
      <c r="M55" s="23" t="n">
        <f aca="false">L55+MAX(ROUND(K55*7,0),1)-1</f>
        <v>46404</v>
      </c>
      <c r="N55" s="24" t="s">
        <v>193</v>
      </c>
      <c r="O55" s="39" t="s">
        <v>155</v>
      </c>
      <c r="P55" s="40" t="n">
        <v>0</v>
      </c>
      <c r="Q55" s="22" t="s">
        <v>370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</row>
    <row r="56" customFormat="false" ht="30" hidden="false" customHeight="true" outlineLevel="0" collapsed="false">
      <c r="A56" s="26" t="s">
        <v>371</v>
      </c>
      <c r="B56" s="29" t="s">
        <v>102</v>
      </c>
      <c r="C56" s="27" t="str">
        <f aca="false">IFERROR(INDEX(Roadmap!$B$5:$B$11,MATCH(B56,Roadmap!$A$5:$A$11,0)),"")</f>
        <v>Advanced Features</v>
      </c>
      <c r="D56" s="27" t="s">
        <v>372</v>
      </c>
      <c r="E56" s="27" t="s">
        <v>373</v>
      </c>
      <c r="F56" s="29" t="s">
        <v>196</v>
      </c>
      <c r="G56" s="42"/>
      <c r="H56" s="43" t="s">
        <v>164</v>
      </c>
      <c r="I56" s="43" t="n">
        <v>10</v>
      </c>
      <c r="J56" s="43" t="n">
        <v>13</v>
      </c>
      <c r="K56" s="43" t="n">
        <v>1</v>
      </c>
      <c r="L56" s="28" t="n">
        <f aca="false">Overview!$B$10+ROUND((J56-1)*7,0)</f>
        <v>46398</v>
      </c>
      <c r="M56" s="28" t="n">
        <f aca="false">L56+MAX(ROUND(K56*7,0),1)-1</f>
        <v>46404</v>
      </c>
      <c r="N56" s="29" t="s">
        <v>367</v>
      </c>
      <c r="O56" s="43" t="s">
        <v>155</v>
      </c>
      <c r="P56" s="44" t="n">
        <v>0</v>
      </c>
      <c r="Q56" s="27" t="s">
        <v>374</v>
      </c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</row>
    <row r="57" customFormat="false" ht="30" hidden="false" customHeight="true" outlineLevel="0" collapsed="false">
      <c r="A57" s="21" t="s">
        <v>375</v>
      </c>
      <c r="B57" s="24" t="s">
        <v>102</v>
      </c>
      <c r="C57" s="22" t="str">
        <f aca="false">IFERROR(INDEX(Roadmap!$B$5:$B$11,MATCH(B57,Roadmap!$A$5:$A$11,0)),"")</f>
        <v>Advanced Features</v>
      </c>
      <c r="D57" s="22" t="s">
        <v>376</v>
      </c>
      <c r="E57" s="22" t="s">
        <v>377</v>
      </c>
      <c r="F57" s="24" t="s">
        <v>196</v>
      </c>
      <c r="G57" s="38"/>
      <c r="H57" s="39" t="s">
        <v>378</v>
      </c>
      <c r="I57" s="39" t="n">
        <v>14</v>
      </c>
      <c r="J57" s="39" t="n">
        <v>12.5</v>
      </c>
      <c r="K57" s="39" t="n">
        <v>1</v>
      </c>
      <c r="L57" s="23" t="n">
        <f aca="false">Overview!$B$10+ROUND((J57-1)*7,0)</f>
        <v>46395</v>
      </c>
      <c r="M57" s="23" t="n">
        <f aca="false">L57+MAX(ROUND(K57*7,0),1)-1</f>
        <v>46401</v>
      </c>
      <c r="N57" s="24" t="s">
        <v>294</v>
      </c>
      <c r="O57" s="39" t="s">
        <v>155</v>
      </c>
      <c r="P57" s="40" t="n">
        <v>0</v>
      </c>
      <c r="Q57" s="22" t="s">
        <v>379</v>
      </c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</row>
    <row r="58" customFormat="false" ht="30" hidden="false" customHeight="true" outlineLevel="0" collapsed="false">
      <c r="A58" s="26" t="s">
        <v>380</v>
      </c>
      <c r="B58" s="29" t="s">
        <v>102</v>
      </c>
      <c r="C58" s="27" t="str">
        <f aca="false">IFERROR(INDEX(Roadmap!$B$5:$B$11,MATCH(B58,Roadmap!$A$5:$A$11,0)),"")</f>
        <v>Advanced Features</v>
      </c>
      <c r="D58" s="27" t="s">
        <v>381</v>
      </c>
      <c r="E58" s="27" t="s">
        <v>382</v>
      </c>
      <c r="F58" s="29" t="s">
        <v>196</v>
      </c>
      <c r="G58" s="42"/>
      <c r="H58" s="43" t="s">
        <v>378</v>
      </c>
      <c r="I58" s="43" t="n">
        <v>8</v>
      </c>
      <c r="J58" s="43" t="n">
        <v>13</v>
      </c>
      <c r="K58" s="43" t="n">
        <v>0.5</v>
      </c>
      <c r="L58" s="28" t="n">
        <f aca="false">Overview!$B$10+ROUND((J58-1)*7,0)</f>
        <v>46398</v>
      </c>
      <c r="M58" s="28" t="n">
        <f aca="false">L58+MAX(ROUND(K58*7,0),1)-1</f>
        <v>46401</v>
      </c>
      <c r="N58" s="29" t="s">
        <v>294</v>
      </c>
      <c r="O58" s="43" t="s">
        <v>155</v>
      </c>
      <c r="P58" s="44" t="n">
        <v>0</v>
      </c>
      <c r="Q58" s="27" t="s">
        <v>383</v>
      </c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</row>
    <row r="59" customFormat="false" ht="30" hidden="false" customHeight="true" outlineLevel="0" collapsed="false">
      <c r="A59" s="21" t="s">
        <v>384</v>
      </c>
      <c r="B59" s="24" t="s">
        <v>102</v>
      </c>
      <c r="C59" s="22" t="str">
        <f aca="false">IFERROR(INDEX(Roadmap!$B$5:$B$11,MATCH(B59,Roadmap!$A$5:$A$11,0)),"")</f>
        <v>Advanced Features</v>
      </c>
      <c r="D59" s="22" t="s">
        <v>385</v>
      </c>
      <c r="E59" s="22" t="s">
        <v>386</v>
      </c>
      <c r="F59" s="24" t="s">
        <v>242</v>
      </c>
      <c r="G59" s="38"/>
      <c r="H59" s="39" t="s">
        <v>164</v>
      </c>
      <c r="I59" s="39" t="n">
        <v>10</v>
      </c>
      <c r="J59" s="39" t="n">
        <v>13</v>
      </c>
      <c r="K59" s="39" t="n">
        <v>1</v>
      </c>
      <c r="L59" s="23" t="n">
        <f aca="false">Overview!$B$10+ROUND((J59-1)*7,0)</f>
        <v>46398</v>
      </c>
      <c r="M59" s="23" t="n">
        <f aca="false">L59+MAX(ROUND(K59*7,0),1)-1</f>
        <v>46404</v>
      </c>
      <c r="N59" s="24" t="s">
        <v>337</v>
      </c>
      <c r="O59" s="39" t="s">
        <v>155</v>
      </c>
      <c r="P59" s="40" t="n">
        <v>0</v>
      </c>
      <c r="Q59" s="22" t="s">
        <v>387</v>
      </c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</row>
    <row r="60" customFormat="false" ht="18" hidden="false" customHeight="true" outlineLevel="0" collapsed="false">
      <c r="A60" s="26" t="s">
        <v>388</v>
      </c>
      <c r="B60" s="29" t="s">
        <v>102</v>
      </c>
      <c r="C60" s="27" t="str">
        <f aca="false">IFERROR(INDEX(Roadmap!$B$5:$B$11,MATCH(B60,Roadmap!$A$5:$A$11,0)),"")</f>
        <v>Advanced Features</v>
      </c>
      <c r="D60" s="27" t="s">
        <v>389</v>
      </c>
      <c r="E60" s="27" t="s">
        <v>390</v>
      </c>
      <c r="F60" s="29" t="s">
        <v>242</v>
      </c>
      <c r="G60" s="42"/>
      <c r="H60" s="43" t="s">
        <v>378</v>
      </c>
      <c r="I60" s="43" t="n">
        <v>8</v>
      </c>
      <c r="J60" s="43" t="n">
        <v>13</v>
      </c>
      <c r="K60" s="43" t="n">
        <v>0.5</v>
      </c>
      <c r="L60" s="28" t="n">
        <f aca="false">Overview!$B$10+ROUND((J60-1)*7,0)</f>
        <v>46398</v>
      </c>
      <c r="M60" s="28" t="n">
        <f aca="false">L60+MAX(ROUND(K60*7,0),1)-1</f>
        <v>46401</v>
      </c>
      <c r="N60" s="29" t="s">
        <v>359</v>
      </c>
      <c r="O60" s="43" t="s">
        <v>155</v>
      </c>
      <c r="P60" s="44" t="n">
        <v>0</v>
      </c>
      <c r="Q60" s="27" t="s">
        <v>391</v>
      </c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</row>
    <row r="61" customFormat="false" ht="18" hidden="false" customHeight="true" outlineLevel="0" collapsed="false">
      <c r="A61" s="21" t="s">
        <v>392</v>
      </c>
      <c r="B61" s="21" t="s">
        <v>102</v>
      </c>
      <c r="C61" s="50" t="str">
        <f aca="false">IFERROR(INDEX(Roadmap!$B$5:$B$11,MATCH(B61,Roadmap!$A$5:$A$11,0)),"")</f>
        <v>Advanced Features</v>
      </c>
      <c r="D61" s="50" t="s">
        <v>393</v>
      </c>
      <c r="E61" s="50" t="s">
        <v>394</v>
      </c>
      <c r="F61" s="21" t="s">
        <v>153</v>
      </c>
      <c r="G61" s="51"/>
      <c r="H61" s="52" t="s">
        <v>154</v>
      </c>
      <c r="I61" s="52" t="n">
        <v>4</v>
      </c>
      <c r="J61" s="52" t="n">
        <v>13.5</v>
      </c>
      <c r="K61" s="52" t="n">
        <v>0.5</v>
      </c>
      <c r="L61" s="53" t="n">
        <f aca="false">Overview!$B$10+ROUND((J61-1)*7,0)</f>
        <v>46402</v>
      </c>
      <c r="M61" s="53" t="n">
        <f aca="false">L61+MAX(ROUND(K61*7,0),1)-1</f>
        <v>46405</v>
      </c>
      <c r="N61" s="21" t="s">
        <v>363</v>
      </c>
      <c r="O61" s="52" t="s">
        <v>155</v>
      </c>
      <c r="P61" s="54" t="n">
        <v>0</v>
      </c>
      <c r="Q61" s="50" t="s">
        <v>395</v>
      </c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</row>
    <row r="62" customFormat="false" ht="30" hidden="false" customHeight="true" outlineLevel="0" collapsed="false">
      <c r="A62" s="26" t="s">
        <v>396</v>
      </c>
      <c r="B62" s="29" t="s">
        <v>107</v>
      </c>
      <c r="C62" s="27" t="str">
        <f aca="false">IFERROR(INDEX(Roadmap!$B$5:$B$11,MATCH(B62,Roadmap!$A$5:$A$11,0)),"")</f>
        <v>Production Hardening</v>
      </c>
      <c r="D62" s="27" t="s">
        <v>397</v>
      </c>
      <c r="E62" s="27" t="s">
        <v>398</v>
      </c>
      <c r="F62" s="29" t="s">
        <v>187</v>
      </c>
      <c r="G62" s="42"/>
      <c r="H62" s="43" t="s">
        <v>154</v>
      </c>
      <c r="I62" s="43" t="n">
        <v>12</v>
      </c>
      <c r="J62" s="43" t="n">
        <v>14</v>
      </c>
      <c r="K62" s="43" t="n">
        <v>1</v>
      </c>
      <c r="L62" s="28" t="n">
        <f aca="false">Overview!$B$10+ROUND((J62-1)*7,0)</f>
        <v>46405</v>
      </c>
      <c r="M62" s="28" t="n">
        <f aca="false">L62+MAX(ROUND(K62*7,0),1)-1</f>
        <v>46411</v>
      </c>
      <c r="N62" s="29" t="s">
        <v>392</v>
      </c>
      <c r="O62" s="43" t="s">
        <v>155</v>
      </c>
      <c r="P62" s="44" t="n">
        <v>0</v>
      </c>
      <c r="Q62" s="27" t="s">
        <v>399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</row>
    <row r="63" customFormat="false" ht="30" hidden="false" customHeight="true" outlineLevel="0" collapsed="false">
      <c r="A63" s="21" t="s">
        <v>400</v>
      </c>
      <c r="B63" s="24" t="s">
        <v>107</v>
      </c>
      <c r="C63" s="22" t="str">
        <f aca="false">IFERROR(INDEX(Roadmap!$B$5:$B$11,MATCH(B63,Roadmap!$A$5:$A$11,0)),"")</f>
        <v>Production Hardening</v>
      </c>
      <c r="D63" s="22" t="s">
        <v>401</v>
      </c>
      <c r="E63" s="22" t="s">
        <v>402</v>
      </c>
      <c r="F63" s="24" t="s">
        <v>187</v>
      </c>
      <c r="G63" s="38"/>
      <c r="H63" s="39" t="s">
        <v>154</v>
      </c>
      <c r="I63" s="39" t="n">
        <v>8</v>
      </c>
      <c r="J63" s="39" t="n">
        <v>14</v>
      </c>
      <c r="K63" s="39" t="n">
        <v>0.5</v>
      </c>
      <c r="L63" s="23" t="n">
        <f aca="false">Overview!$B$10+ROUND((J63-1)*7,0)</f>
        <v>46405</v>
      </c>
      <c r="M63" s="23" t="n">
        <f aca="false">L63+MAX(ROUND(K63*7,0),1)-1</f>
        <v>46408</v>
      </c>
      <c r="N63" s="24" t="s">
        <v>396</v>
      </c>
      <c r="O63" s="39" t="s">
        <v>155</v>
      </c>
      <c r="P63" s="40" t="n">
        <v>0</v>
      </c>
      <c r="Q63" s="22" t="s">
        <v>403</v>
      </c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</row>
    <row r="64" customFormat="false" ht="30" hidden="false" customHeight="true" outlineLevel="0" collapsed="false">
      <c r="A64" s="26" t="s">
        <v>404</v>
      </c>
      <c r="B64" s="29" t="s">
        <v>107</v>
      </c>
      <c r="C64" s="27" t="str">
        <f aca="false">IFERROR(INDEX(Roadmap!$B$5:$B$11,MATCH(B64,Roadmap!$A$5:$A$11,0)),"")</f>
        <v>Production Hardening</v>
      </c>
      <c r="D64" s="27" t="s">
        <v>405</v>
      </c>
      <c r="E64" s="27" t="s">
        <v>406</v>
      </c>
      <c r="F64" s="29" t="s">
        <v>173</v>
      </c>
      <c r="G64" s="42"/>
      <c r="H64" s="43" t="s">
        <v>154</v>
      </c>
      <c r="I64" s="43" t="n">
        <v>10</v>
      </c>
      <c r="J64" s="43" t="n">
        <v>14</v>
      </c>
      <c r="K64" s="43" t="n">
        <v>1</v>
      </c>
      <c r="L64" s="28" t="n">
        <f aca="false">Overview!$B$10+ROUND((J64-1)*7,0)</f>
        <v>46405</v>
      </c>
      <c r="M64" s="28" t="n">
        <f aca="false">L64+MAX(ROUND(K64*7,0),1)-1</f>
        <v>46411</v>
      </c>
      <c r="N64" s="29" t="s">
        <v>392</v>
      </c>
      <c r="O64" s="43" t="s">
        <v>155</v>
      </c>
      <c r="P64" s="44" t="n">
        <v>0</v>
      </c>
      <c r="Q64" s="27" t="s">
        <v>407</v>
      </c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</row>
    <row r="65" customFormat="false" ht="30" hidden="false" customHeight="true" outlineLevel="0" collapsed="false">
      <c r="A65" s="21" t="s">
        <v>408</v>
      </c>
      <c r="B65" s="24" t="s">
        <v>107</v>
      </c>
      <c r="C65" s="22" t="str">
        <f aca="false">IFERROR(INDEX(Roadmap!$B$5:$B$11,MATCH(B65,Roadmap!$A$5:$A$11,0)),"")</f>
        <v>Production Hardening</v>
      </c>
      <c r="D65" s="22" t="s">
        <v>409</v>
      </c>
      <c r="E65" s="22" t="s">
        <v>410</v>
      </c>
      <c r="F65" s="24" t="s">
        <v>187</v>
      </c>
      <c r="G65" s="38"/>
      <c r="H65" s="39" t="s">
        <v>154</v>
      </c>
      <c r="I65" s="39" t="n">
        <v>12</v>
      </c>
      <c r="J65" s="39" t="n">
        <v>14</v>
      </c>
      <c r="K65" s="39" t="n">
        <v>1</v>
      </c>
      <c r="L65" s="23" t="n">
        <f aca="false">Overview!$B$10+ROUND((J65-1)*7,0)</f>
        <v>46405</v>
      </c>
      <c r="M65" s="23" t="n">
        <f aca="false">L65+MAX(ROUND(K65*7,0),1)-1</f>
        <v>46411</v>
      </c>
      <c r="N65" s="24" t="s">
        <v>396</v>
      </c>
      <c r="O65" s="39" t="s">
        <v>155</v>
      </c>
      <c r="P65" s="40" t="n">
        <v>0</v>
      </c>
      <c r="Q65" s="22" t="s">
        <v>411</v>
      </c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</row>
    <row r="66" customFormat="false" ht="30" hidden="false" customHeight="true" outlineLevel="0" collapsed="false">
      <c r="A66" s="26" t="s">
        <v>412</v>
      </c>
      <c r="B66" s="29" t="s">
        <v>107</v>
      </c>
      <c r="C66" s="27" t="str">
        <f aca="false">IFERROR(INDEX(Roadmap!$B$5:$B$11,MATCH(B66,Roadmap!$A$5:$A$11,0)),"")</f>
        <v>Production Hardening</v>
      </c>
      <c r="D66" s="27" t="s">
        <v>413</v>
      </c>
      <c r="E66" s="27" t="s">
        <v>414</v>
      </c>
      <c r="F66" s="29" t="s">
        <v>187</v>
      </c>
      <c r="G66" s="42"/>
      <c r="H66" s="43" t="s">
        <v>154</v>
      </c>
      <c r="I66" s="43" t="n">
        <v>14</v>
      </c>
      <c r="J66" s="43" t="n">
        <v>15</v>
      </c>
      <c r="K66" s="43" t="n">
        <v>1</v>
      </c>
      <c r="L66" s="28" t="n">
        <f aca="false">Overview!$B$10+ROUND((J66-1)*7,0)</f>
        <v>46412</v>
      </c>
      <c r="M66" s="28" t="n">
        <f aca="false">L66+MAX(ROUND(K66*7,0),1)-1</f>
        <v>46418</v>
      </c>
      <c r="N66" s="29" t="s">
        <v>415</v>
      </c>
      <c r="O66" s="43" t="s">
        <v>155</v>
      </c>
      <c r="P66" s="44" t="n">
        <v>0</v>
      </c>
      <c r="Q66" s="27" t="s">
        <v>416</v>
      </c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</row>
    <row r="67" customFormat="false" ht="30" hidden="false" customHeight="true" outlineLevel="0" collapsed="false">
      <c r="A67" s="21" t="s">
        <v>417</v>
      </c>
      <c r="B67" s="24" t="s">
        <v>107</v>
      </c>
      <c r="C67" s="22" t="str">
        <f aca="false">IFERROR(INDEX(Roadmap!$B$5:$B$11,MATCH(B67,Roadmap!$A$5:$A$11,0)),"")</f>
        <v>Production Hardening</v>
      </c>
      <c r="D67" s="22" t="s">
        <v>418</v>
      </c>
      <c r="E67" s="22" t="s">
        <v>419</v>
      </c>
      <c r="F67" s="24" t="s">
        <v>173</v>
      </c>
      <c r="G67" s="38"/>
      <c r="H67" s="39" t="s">
        <v>164</v>
      </c>
      <c r="I67" s="39" t="n">
        <v>10</v>
      </c>
      <c r="J67" s="39" t="n">
        <v>15</v>
      </c>
      <c r="K67" s="39" t="n">
        <v>1</v>
      </c>
      <c r="L67" s="23" t="n">
        <f aca="false">Overview!$B$10+ROUND((J67-1)*7,0)</f>
        <v>46412</v>
      </c>
      <c r="M67" s="23" t="n">
        <f aca="false">L67+MAX(ROUND(K67*7,0),1)-1</f>
        <v>46418</v>
      </c>
      <c r="N67" s="24" t="s">
        <v>412</v>
      </c>
      <c r="O67" s="39" t="s">
        <v>155</v>
      </c>
      <c r="P67" s="40" t="n">
        <v>0</v>
      </c>
      <c r="Q67" s="22" t="s">
        <v>420</v>
      </c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</row>
    <row r="68" customFormat="false" ht="30" hidden="false" customHeight="true" outlineLevel="0" collapsed="false">
      <c r="A68" s="26" t="s">
        <v>421</v>
      </c>
      <c r="B68" s="29" t="s">
        <v>107</v>
      </c>
      <c r="C68" s="27" t="str">
        <f aca="false">IFERROR(INDEX(Roadmap!$B$5:$B$11,MATCH(B68,Roadmap!$A$5:$A$11,0)),"")</f>
        <v>Production Hardening</v>
      </c>
      <c r="D68" s="27" t="s">
        <v>422</v>
      </c>
      <c r="E68" s="27" t="s">
        <v>423</v>
      </c>
      <c r="F68" s="29" t="s">
        <v>173</v>
      </c>
      <c r="G68" s="42"/>
      <c r="H68" s="43" t="s">
        <v>154</v>
      </c>
      <c r="I68" s="43" t="n">
        <v>10</v>
      </c>
      <c r="J68" s="43" t="n">
        <v>14.5</v>
      </c>
      <c r="K68" s="43" t="n">
        <v>1</v>
      </c>
      <c r="L68" s="28" t="n">
        <f aca="false">Overview!$B$10+ROUND((J68-1)*7,0)</f>
        <v>46409</v>
      </c>
      <c r="M68" s="28" t="n">
        <f aca="false">L68+MAX(ROUND(K68*7,0),1)-1</f>
        <v>46415</v>
      </c>
      <c r="N68" s="29" t="s">
        <v>396</v>
      </c>
      <c r="O68" s="43" t="s">
        <v>155</v>
      </c>
      <c r="P68" s="44" t="n">
        <v>0</v>
      </c>
      <c r="Q68" s="27" t="s">
        <v>424</v>
      </c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</row>
    <row r="69" customFormat="false" ht="30" hidden="false" customHeight="true" outlineLevel="0" collapsed="false">
      <c r="A69" s="21" t="s">
        <v>425</v>
      </c>
      <c r="B69" s="24" t="s">
        <v>107</v>
      </c>
      <c r="C69" s="22" t="str">
        <f aca="false">IFERROR(INDEX(Roadmap!$B$5:$B$11,MATCH(B69,Roadmap!$A$5:$A$11,0)),"")</f>
        <v>Production Hardening</v>
      </c>
      <c r="D69" s="22" t="s">
        <v>426</v>
      </c>
      <c r="E69" s="22" t="s">
        <v>427</v>
      </c>
      <c r="F69" s="24" t="s">
        <v>187</v>
      </c>
      <c r="G69" s="38"/>
      <c r="H69" s="39" t="s">
        <v>164</v>
      </c>
      <c r="I69" s="39" t="n">
        <v>8</v>
      </c>
      <c r="J69" s="39" t="n">
        <v>15</v>
      </c>
      <c r="K69" s="39" t="n">
        <v>0.5</v>
      </c>
      <c r="L69" s="23" t="n">
        <f aca="false">Overview!$B$10+ROUND((J69-1)*7,0)</f>
        <v>46412</v>
      </c>
      <c r="M69" s="23" t="n">
        <f aca="false">L69+MAX(ROUND(K69*7,0),1)-1</f>
        <v>46415</v>
      </c>
      <c r="N69" s="24" t="s">
        <v>412</v>
      </c>
      <c r="O69" s="39" t="s">
        <v>155</v>
      </c>
      <c r="P69" s="40" t="n">
        <v>0</v>
      </c>
      <c r="Q69" s="22" t="s">
        <v>428</v>
      </c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</row>
    <row r="70" customFormat="false" ht="30" hidden="false" customHeight="true" outlineLevel="0" collapsed="false">
      <c r="A70" s="26" t="s">
        <v>429</v>
      </c>
      <c r="B70" s="29" t="s">
        <v>107</v>
      </c>
      <c r="C70" s="27" t="str">
        <f aca="false">IFERROR(INDEX(Roadmap!$B$5:$B$11,MATCH(B70,Roadmap!$A$5:$A$11,0)),"")</f>
        <v>Production Hardening</v>
      </c>
      <c r="D70" s="27" t="s">
        <v>430</v>
      </c>
      <c r="E70" s="27" t="s">
        <v>431</v>
      </c>
      <c r="F70" s="29" t="s">
        <v>187</v>
      </c>
      <c r="G70" s="42"/>
      <c r="H70" s="43" t="s">
        <v>164</v>
      </c>
      <c r="I70" s="43" t="n">
        <v>8</v>
      </c>
      <c r="J70" s="43" t="n">
        <v>14</v>
      </c>
      <c r="K70" s="43" t="n">
        <v>1</v>
      </c>
      <c r="L70" s="28" t="n">
        <f aca="false">Overview!$B$10+ROUND((J70-1)*7,0)</f>
        <v>46405</v>
      </c>
      <c r="M70" s="28" t="n">
        <f aca="false">L70+MAX(ROUND(K70*7,0),1)-1</f>
        <v>46411</v>
      </c>
      <c r="N70" s="29" t="s">
        <v>248</v>
      </c>
      <c r="O70" s="43" t="s">
        <v>155</v>
      </c>
      <c r="P70" s="44" t="n">
        <v>0</v>
      </c>
      <c r="Q70" s="27" t="s">
        <v>432</v>
      </c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</row>
    <row r="71" customFormat="false" ht="30" hidden="false" customHeight="true" outlineLevel="0" collapsed="false">
      <c r="A71" s="21" t="s">
        <v>433</v>
      </c>
      <c r="B71" s="24" t="s">
        <v>107</v>
      </c>
      <c r="C71" s="22" t="str">
        <f aca="false">IFERROR(INDEX(Roadmap!$B$5:$B$11,MATCH(B71,Roadmap!$A$5:$A$11,0)),"")</f>
        <v>Production Hardening</v>
      </c>
      <c r="D71" s="22" t="s">
        <v>434</v>
      </c>
      <c r="E71" s="22" t="s">
        <v>435</v>
      </c>
      <c r="F71" s="24" t="s">
        <v>187</v>
      </c>
      <c r="G71" s="38"/>
      <c r="H71" s="39" t="s">
        <v>154</v>
      </c>
      <c r="I71" s="39" t="n">
        <v>10</v>
      </c>
      <c r="J71" s="39" t="n">
        <v>15</v>
      </c>
      <c r="K71" s="39" t="n">
        <v>1</v>
      </c>
      <c r="L71" s="23" t="n">
        <f aca="false">Overview!$B$10+ROUND((J71-1)*7,0)</f>
        <v>46412</v>
      </c>
      <c r="M71" s="23" t="n">
        <f aca="false">L71+MAX(ROUND(K71*7,0),1)-1</f>
        <v>46418</v>
      </c>
      <c r="N71" s="24" t="s">
        <v>436</v>
      </c>
      <c r="O71" s="39" t="s">
        <v>155</v>
      </c>
      <c r="P71" s="40" t="n">
        <v>0</v>
      </c>
      <c r="Q71" s="22" t="s">
        <v>437</v>
      </c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</row>
    <row r="72" customFormat="false" ht="18" hidden="false" customHeight="true" outlineLevel="0" collapsed="false">
      <c r="A72" s="26" t="s">
        <v>438</v>
      </c>
      <c r="B72" s="29" t="s">
        <v>112</v>
      </c>
      <c r="C72" s="27" t="str">
        <f aca="false">IFERROR(INDEX(Roadmap!$B$5:$B$11,MATCH(B72,Roadmap!$A$5:$A$11,0)),"")</f>
        <v>Documentation &amp; Viva</v>
      </c>
      <c r="D72" s="27" t="s">
        <v>439</v>
      </c>
      <c r="E72" s="27" t="s">
        <v>440</v>
      </c>
      <c r="F72" s="29" t="s">
        <v>153</v>
      </c>
      <c r="G72" s="42"/>
      <c r="H72" s="43" t="s">
        <v>154</v>
      </c>
      <c r="I72" s="43" t="n">
        <v>16</v>
      </c>
      <c r="J72" s="43" t="n">
        <v>14</v>
      </c>
      <c r="K72" s="43" t="n">
        <v>2</v>
      </c>
      <c r="L72" s="28" t="n">
        <f aca="false">Overview!$B$10+ROUND((J72-1)*7,0)</f>
        <v>46405</v>
      </c>
      <c r="M72" s="28" t="n">
        <f aca="false">L72+MAX(ROUND(K72*7,0),1)-1</f>
        <v>46418</v>
      </c>
      <c r="N72" s="29" t="s">
        <v>337</v>
      </c>
      <c r="O72" s="43" t="s">
        <v>155</v>
      </c>
      <c r="P72" s="44" t="n">
        <v>0</v>
      </c>
      <c r="Q72" s="27" t="s">
        <v>441</v>
      </c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</row>
    <row r="73" customFormat="false" ht="30" hidden="false" customHeight="true" outlineLevel="0" collapsed="false">
      <c r="A73" s="21" t="s">
        <v>442</v>
      </c>
      <c r="B73" s="24" t="s">
        <v>112</v>
      </c>
      <c r="C73" s="22" t="str">
        <f aca="false">IFERROR(INDEX(Roadmap!$B$5:$B$11,MATCH(B73,Roadmap!$A$5:$A$11,0)),"")</f>
        <v>Documentation &amp; Viva</v>
      </c>
      <c r="D73" s="22" t="s">
        <v>443</v>
      </c>
      <c r="E73" s="22" t="s">
        <v>444</v>
      </c>
      <c r="F73" s="24" t="s">
        <v>196</v>
      </c>
      <c r="G73" s="38"/>
      <c r="H73" s="39" t="s">
        <v>154</v>
      </c>
      <c r="I73" s="39" t="n">
        <v>10</v>
      </c>
      <c r="J73" s="39" t="n">
        <v>15</v>
      </c>
      <c r="K73" s="39" t="n">
        <v>1</v>
      </c>
      <c r="L73" s="23" t="n">
        <f aca="false">Overview!$B$10+ROUND((J73-1)*7,0)</f>
        <v>46412</v>
      </c>
      <c r="M73" s="23" t="n">
        <f aca="false">L73+MAX(ROUND(K73*7,0),1)-1</f>
        <v>46418</v>
      </c>
      <c r="N73" s="24" t="s">
        <v>280</v>
      </c>
      <c r="O73" s="39" t="s">
        <v>155</v>
      </c>
      <c r="P73" s="40" t="n">
        <v>0</v>
      </c>
      <c r="Q73" s="22" t="s">
        <v>443</v>
      </c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</row>
    <row r="74" customFormat="false" ht="30" hidden="false" customHeight="true" outlineLevel="0" collapsed="false">
      <c r="A74" s="26" t="s">
        <v>445</v>
      </c>
      <c r="B74" s="29" t="s">
        <v>112</v>
      </c>
      <c r="C74" s="27" t="str">
        <f aca="false">IFERROR(INDEX(Roadmap!$B$5:$B$11,MATCH(B74,Roadmap!$A$5:$A$11,0)),"")</f>
        <v>Documentation &amp; Viva</v>
      </c>
      <c r="D74" s="27" t="s">
        <v>446</v>
      </c>
      <c r="E74" s="27" t="s">
        <v>447</v>
      </c>
      <c r="F74" s="29" t="s">
        <v>153</v>
      </c>
      <c r="G74" s="42"/>
      <c r="H74" s="43" t="s">
        <v>154</v>
      </c>
      <c r="I74" s="43" t="n">
        <v>24</v>
      </c>
      <c r="J74" s="43" t="n">
        <v>15</v>
      </c>
      <c r="K74" s="43" t="n">
        <v>2</v>
      </c>
      <c r="L74" s="28" t="n">
        <f aca="false">Overview!$B$10+ROUND((J74-1)*7,0)</f>
        <v>46412</v>
      </c>
      <c r="M74" s="28" t="n">
        <f aca="false">L74+MAX(ROUND(K74*7,0),1)-1</f>
        <v>46425</v>
      </c>
      <c r="N74" s="29" t="s">
        <v>448</v>
      </c>
      <c r="O74" s="43" t="s">
        <v>155</v>
      </c>
      <c r="P74" s="44" t="n">
        <v>0</v>
      </c>
      <c r="Q74" s="27" t="s">
        <v>449</v>
      </c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</row>
    <row r="75" customFormat="false" ht="18" hidden="false" customHeight="true" outlineLevel="0" collapsed="false">
      <c r="A75" s="21" t="s">
        <v>450</v>
      </c>
      <c r="B75" s="24" t="s">
        <v>112</v>
      </c>
      <c r="C75" s="22" t="str">
        <f aca="false">IFERROR(INDEX(Roadmap!$B$5:$B$11,MATCH(B75,Roadmap!$A$5:$A$11,0)),"")</f>
        <v>Documentation &amp; Viva</v>
      </c>
      <c r="D75" s="22" t="s">
        <v>451</v>
      </c>
      <c r="E75" s="22" t="s">
        <v>452</v>
      </c>
      <c r="F75" s="24" t="s">
        <v>153</v>
      </c>
      <c r="G75" s="38"/>
      <c r="H75" s="39" t="s">
        <v>154</v>
      </c>
      <c r="I75" s="39" t="n">
        <v>10</v>
      </c>
      <c r="J75" s="39" t="n">
        <v>16</v>
      </c>
      <c r="K75" s="39" t="n">
        <v>1</v>
      </c>
      <c r="L75" s="23" t="n">
        <f aca="false">Overview!$B$10+ROUND((J75-1)*7,0)</f>
        <v>46419</v>
      </c>
      <c r="M75" s="23" t="n">
        <f aca="false">L75+MAX(ROUND(K75*7,0),1)-1</f>
        <v>46425</v>
      </c>
      <c r="N75" s="24" t="s">
        <v>445</v>
      </c>
      <c r="O75" s="39" t="s">
        <v>155</v>
      </c>
      <c r="P75" s="40" t="n">
        <v>0</v>
      </c>
      <c r="Q75" s="22" t="s">
        <v>453</v>
      </c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</row>
    <row r="76" customFormat="false" ht="30" hidden="false" customHeight="true" outlineLevel="0" collapsed="false">
      <c r="A76" s="26" t="s">
        <v>454</v>
      </c>
      <c r="B76" s="29" t="s">
        <v>112</v>
      </c>
      <c r="C76" s="27" t="str">
        <f aca="false">IFERROR(INDEX(Roadmap!$B$5:$B$11,MATCH(B76,Roadmap!$A$5:$A$11,0)),"")</f>
        <v>Documentation &amp; Viva</v>
      </c>
      <c r="D76" s="27" t="s">
        <v>455</v>
      </c>
      <c r="E76" s="27" t="s">
        <v>456</v>
      </c>
      <c r="F76" s="29" t="s">
        <v>153</v>
      </c>
      <c r="G76" s="42"/>
      <c r="H76" s="43" t="s">
        <v>154</v>
      </c>
      <c r="I76" s="43" t="n">
        <v>10</v>
      </c>
      <c r="J76" s="43" t="n">
        <v>16</v>
      </c>
      <c r="K76" s="43" t="n">
        <v>1</v>
      </c>
      <c r="L76" s="28" t="n">
        <f aca="false">Overview!$B$10+ROUND((J76-1)*7,0)</f>
        <v>46419</v>
      </c>
      <c r="M76" s="28" t="n">
        <f aca="false">L76+MAX(ROUND(K76*7,0),1)-1</f>
        <v>46425</v>
      </c>
      <c r="N76" s="29" t="s">
        <v>433</v>
      </c>
      <c r="O76" s="43" t="s">
        <v>155</v>
      </c>
      <c r="P76" s="44" t="n">
        <v>0</v>
      </c>
      <c r="Q76" s="27" t="s">
        <v>457</v>
      </c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</row>
    <row r="77" customFormat="false" ht="18" hidden="false" customHeight="true" outlineLevel="0" collapsed="false">
      <c r="A77" s="21" t="s">
        <v>458</v>
      </c>
      <c r="B77" s="24" t="s">
        <v>112</v>
      </c>
      <c r="C77" s="22" t="str">
        <f aca="false">IFERROR(INDEX(Roadmap!$B$5:$B$11,MATCH(B77,Roadmap!$A$5:$A$11,0)),"")</f>
        <v>Documentation &amp; Viva</v>
      </c>
      <c r="D77" s="22" t="s">
        <v>459</v>
      </c>
      <c r="E77" s="22" t="s">
        <v>460</v>
      </c>
      <c r="F77" s="24" t="s">
        <v>153</v>
      </c>
      <c r="G77" s="38"/>
      <c r="H77" s="39" t="s">
        <v>154</v>
      </c>
      <c r="I77" s="39" t="n">
        <v>8</v>
      </c>
      <c r="J77" s="39" t="n">
        <v>16</v>
      </c>
      <c r="K77" s="39" t="n">
        <v>0.5</v>
      </c>
      <c r="L77" s="23" t="n">
        <f aca="false">Overview!$B$10+ROUND((J77-1)*7,0)</f>
        <v>46419</v>
      </c>
      <c r="M77" s="23" t="n">
        <f aca="false">L77+MAX(ROUND(K77*7,0),1)-1</f>
        <v>46422</v>
      </c>
      <c r="N77" s="24" t="s">
        <v>454</v>
      </c>
      <c r="O77" s="39" t="s">
        <v>155</v>
      </c>
      <c r="P77" s="40" t="n">
        <v>0</v>
      </c>
      <c r="Q77" s="22" t="s">
        <v>461</v>
      </c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</row>
    <row r="78" customFormat="false" ht="18" hidden="false" customHeight="true" outlineLevel="0" collapsed="false">
      <c r="A78" s="26" t="s">
        <v>462</v>
      </c>
      <c r="B78" s="29" t="s">
        <v>112</v>
      </c>
      <c r="C78" s="27" t="str">
        <f aca="false">IFERROR(INDEX(Roadmap!$B$5:$B$11,MATCH(B78,Roadmap!$A$5:$A$11,0)),"")</f>
        <v>Documentation &amp; Viva</v>
      </c>
      <c r="D78" s="27" t="s">
        <v>463</v>
      </c>
      <c r="E78" s="27" t="s">
        <v>464</v>
      </c>
      <c r="F78" s="29" t="s">
        <v>153</v>
      </c>
      <c r="G78" s="42"/>
      <c r="H78" s="43" t="s">
        <v>154</v>
      </c>
      <c r="I78" s="43" t="n">
        <v>16</v>
      </c>
      <c r="J78" s="43" t="n">
        <v>15.5</v>
      </c>
      <c r="K78" s="43" t="n">
        <v>1.5</v>
      </c>
      <c r="L78" s="28" t="n">
        <f aca="false">Overview!$B$10+ROUND((J78-1)*7,0)</f>
        <v>46416</v>
      </c>
      <c r="M78" s="28" t="n">
        <f aca="false">L78+MAX(ROUND(K78*7,0),1)-1</f>
        <v>46426</v>
      </c>
      <c r="N78" s="29"/>
      <c r="O78" s="43" t="s">
        <v>155</v>
      </c>
      <c r="P78" s="44" t="n">
        <v>0</v>
      </c>
      <c r="Q78" s="27" t="s">
        <v>465</v>
      </c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</row>
    <row r="79" customFormat="false" ht="18" hidden="false" customHeight="true" outlineLevel="0" collapsed="false">
      <c r="A79" s="21" t="s">
        <v>466</v>
      </c>
      <c r="B79" s="24" t="s">
        <v>112</v>
      </c>
      <c r="C79" s="22" t="str">
        <f aca="false">IFERROR(INDEX(Roadmap!$B$5:$B$11,MATCH(B79,Roadmap!$A$5:$A$11,0)),"")</f>
        <v>Documentation &amp; Viva</v>
      </c>
      <c r="D79" s="22" t="s">
        <v>467</v>
      </c>
      <c r="E79" s="22" t="s">
        <v>468</v>
      </c>
      <c r="F79" s="24" t="s">
        <v>153</v>
      </c>
      <c r="G79" s="38"/>
      <c r="H79" s="39" t="s">
        <v>154</v>
      </c>
      <c r="I79" s="39" t="n">
        <v>4</v>
      </c>
      <c r="J79" s="39" t="n">
        <v>16.5</v>
      </c>
      <c r="K79" s="39" t="n">
        <v>0.5</v>
      </c>
      <c r="L79" s="23" t="n">
        <f aca="false">Overview!$B$10+ROUND((J79-1)*7,0)</f>
        <v>46423</v>
      </c>
      <c r="M79" s="23" t="n">
        <f aca="false">L79+MAX(ROUND(K79*7,0),1)-1</f>
        <v>46426</v>
      </c>
      <c r="N79" s="24" t="s">
        <v>462</v>
      </c>
      <c r="O79" s="39" t="s">
        <v>155</v>
      </c>
      <c r="P79" s="40" t="n">
        <v>0</v>
      </c>
      <c r="Q79" s="22" t="s">
        <v>469</v>
      </c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</row>
    <row r="81" customFormat="false" ht="15" hidden="false" customHeight="false" outlineLevel="0" collapsed="false">
      <c r="D81" s="17" t="s">
        <v>470</v>
      </c>
    </row>
  </sheetData>
  <autoFilter ref="A4:Q79"/>
  <mergeCells count="2">
    <mergeCell ref="A1:AG1"/>
    <mergeCell ref="A2:AG2"/>
  </mergeCells>
  <conditionalFormatting sqref="O5:O20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conditionalFormatting sqref="H5:H200">
    <cfRule type="cellIs" priority="5" operator="equal" aboveAverage="0" equalAverage="0" bottom="0" percent="0" rank="0" text="" dxfId="10">
      <formula>"Must"</formula>
    </cfRule>
  </conditionalFormatting>
  <conditionalFormatting sqref="P5:P200">
    <cfRule type="dataBar" priority="6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{BB25303D-7E88-47B8-9F78-A5C1E48DD71E}</x14:id>
        </ext>
      </extLst>
    </cfRule>
  </conditionalFormatting>
  <conditionalFormatting sqref="R5:AG200">
    <cfRule type="expression" priority="7" aboveAverage="0" equalAverage="0" bottom="0" percent="0" rank="0" text="" dxfId="11">
      <formula>AND($B5="P0",$L5&lt;=R$4+6,$M5&gt;=R$4)</formula>
    </cfRule>
    <cfRule type="expression" priority="8" aboveAverage="0" equalAverage="0" bottom="0" percent="0" rank="0" text="" dxfId="12">
      <formula>AND($B5="P1",$L5&lt;=R$4+6,$M5&gt;=R$4)</formula>
    </cfRule>
    <cfRule type="expression" priority="9" aboveAverage="0" equalAverage="0" bottom="0" percent="0" rank="0" text="" dxfId="13">
      <formula>AND($B5="P2",$L5&lt;=R$4+6,$M5&gt;=R$4)</formula>
    </cfRule>
    <cfRule type="expression" priority="10" aboveAverage="0" equalAverage="0" bottom="0" percent="0" rank="0" text="" dxfId="14">
      <formula>AND($B5="P3",$L5&lt;=R$4+6,$M5&gt;=R$4)</formula>
    </cfRule>
    <cfRule type="expression" priority="11" aboveAverage="0" equalAverage="0" bottom="0" percent="0" rank="0" text="" dxfId="15">
      <formula>AND($B5="P4",$L5&lt;=R$4+6,$M5&gt;=R$4)</formula>
    </cfRule>
    <cfRule type="expression" priority="12" aboveAverage="0" equalAverage="0" bottom="0" percent="0" rank="0" text="" dxfId="16">
      <formula>AND($B5="P5",$L5&lt;=R$4+6,$M5&gt;=R$4)</formula>
    </cfRule>
    <cfRule type="expression" priority="13" aboveAverage="0" equalAverage="0" bottom="0" percent="0" rank="0" text="" dxfId="17">
      <formula>AND($B5="P6",$L5&lt;=R$4+6,$M5&gt;=R$4)</formula>
    </cfRule>
  </conditionalFormatting>
  <dataValidations count="3">
    <dataValidation allowBlank="false" errorStyle="stop" operator="between" showDropDown="false" showErrorMessage="false" showInputMessage="false" sqref="O5:O200" type="list">
      <formula1>"Not Started,In Progress,Blocked,Done"</formula1>
      <formula2>0</formula2>
    </dataValidation>
    <dataValidation allowBlank="false" errorStyle="stop" operator="between" showDropDown="false" showErrorMessage="false" showInputMessage="false" sqref="H5:H200" type="list">
      <formula1>"Must,Should,Could"</formula1>
      <formula2>0</formula2>
    </dataValidation>
    <dataValidation allowBlank="true" error="Enter a value between 0% and 100%" errorStyle="stop" operator="between" showDropDown="false" showErrorMessage="false" showInputMessage="false" sqref="P5:P20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25303D-7E88-47B8-9F78-A5C1E48DD71E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P5:P200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4" min="4" style="0" width="62"/>
    <col collapsed="false" customWidth="true" hidden="false" outlineLevel="0" max="5" min="5" style="0" width="18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" t="s">
        <v>471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472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20" t="s">
        <v>473</v>
      </c>
      <c r="B4" s="20" t="s">
        <v>474</v>
      </c>
      <c r="C4" s="20" t="s">
        <v>475</v>
      </c>
      <c r="D4" s="20" t="s">
        <v>476</v>
      </c>
      <c r="E4" s="20" t="s">
        <v>477</v>
      </c>
      <c r="F4" s="20" t="s">
        <v>478</v>
      </c>
    </row>
    <row r="5" customFormat="false" ht="30" hidden="false" customHeight="true" outlineLevel="0" collapsed="false">
      <c r="A5" s="22" t="s">
        <v>479</v>
      </c>
      <c r="B5" s="22" t="s">
        <v>480</v>
      </c>
      <c r="C5" s="22" t="s">
        <v>481</v>
      </c>
      <c r="D5" s="22" t="s">
        <v>482</v>
      </c>
      <c r="E5" s="24" t="s">
        <v>483</v>
      </c>
      <c r="F5" s="22" t="s">
        <v>484</v>
      </c>
    </row>
    <row r="6" customFormat="false" ht="30" hidden="false" customHeight="true" outlineLevel="0" collapsed="false">
      <c r="A6" s="27" t="s">
        <v>173</v>
      </c>
      <c r="B6" s="27" t="s">
        <v>485</v>
      </c>
      <c r="C6" s="27" t="s">
        <v>486</v>
      </c>
      <c r="D6" s="27" t="s">
        <v>487</v>
      </c>
      <c r="E6" s="29" t="s">
        <v>483</v>
      </c>
      <c r="F6" s="27" t="s">
        <v>488</v>
      </c>
    </row>
    <row r="7" customFormat="false" ht="18" hidden="false" customHeight="true" outlineLevel="0" collapsed="false">
      <c r="A7" s="22" t="s">
        <v>173</v>
      </c>
      <c r="B7" s="22" t="s">
        <v>489</v>
      </c>
      <c r="C7" s="22" t="s">
        <v>490</v>
      </c>
      <c r="D7" s="22" t="s">
        <v>491</v>
      </c>
      <c r="E7" s="24" t="s">
        <v>483</v>
      </c>
      <c r="F7" s="22" t="s">
        <v>492</v>
      </c>
    </row>
    <row r="8" customFormat="false" ht="30" hidden="false" customHeight="true" outlineLevel="0" collapsed="false">
      <c r="A8" s="27" t="s">
        <v>493</v>
      </c>
      <c r="B8" s="27" t="s">
        <v>494</v>
      </c>
      <c r="C8" s="27" t="s">
        <v>495</v>
      </c>
      <c r="D8" s="27" t="s">
        <v>496</v>
      </c>
      <c r="E8" s="29" t="s">
        <v>483</v>
      </c>
      <c r="F8" s="27" t="s">
        <v>497</v>
      </c>
    </row>
    <row r="9" customFormat="false" ht="30" hidden="false" customHeight="true" outlineLevel="0" collapsed="false">
      <c r="A9" s="22" t="s">
        <v>493</v>
      </c>
      <c r="B9" s="22" t="s">
        <v>498</v>
      </c>
      <c r="C9" s="22" t="s">
        <v>499</v>
      </c>
      <c r="D9" s="22" t="s">
        <v>500</v>
      </c>
      <c r="E9" s="24" t="s">
        <v>483</v>
      </c>
      <c r="F9" s="22" t="s">
        <v>501</v>
      </c>
    </row>
    <row r="10" customFormat="false" ht="30" hidden="false" customHeight="true" outlineLevel="0" collapsed="false">
      <c r="A10" s="27" t="s">
        <v>493</v>
      </c>
      <c r="B10" s="27" t="s">
        <v>502</v>
      </c>
      <c r="C10" s="27" t="s">
        <v>503</v>
      </c>
      <c r="D10" s="27" t="s">
        <v>504</v>
      </c>
      <c r="E10" s="29" t="s">
        <v>483</v>
      </c>
      <c r="F10" s="27" t="s">
        <v>505</v>
      </c>
    </row>
    <row r="11" customFormat="false" ht="18" hidden="false" customHeight="true" outlineLevel="0" collapsed="false">
      <c r="A11" s="22" t="s">
        <v>493</v>
      </c>
      <c r="B11" s="22" t="s">
        <v>506</v>
      </c>
      <c r="C11" s="22" t="s">
        <v>507</v>
      </c>
      <c r="D11" s="22" t="s">
        <v>508</v>
      </c>
      <c r="E11" s="24" t="s">
        <v>483</v>
      </c>
      <c r="F11" s="22" t="s">
        <v>509</v>
      </c>
    </row>
    <row r="12" customFormat="false" ht="18" hidden="false" customHeight="true" outlineLevel="0" collapsed="false">
      <c r="A12" s="27" t="s">
        <v>225</v>
      </c>
      <c r="B12" s="27" t="s">
        <v>510</v>
      </c>
      <c r="C12" s="27" t="s">
        <v>511</v>
      </c>
      <c r="D12" s="27" t="s">
        <v>512</v>
      </c>
      <c r="E12" s="29" t="s">
        <v>483</v>
      </c>
      <c r="F12" s="27" t="s">
        <v>513</v>
      </c>
    </row>
    <row r="13" customFormat="false" ht="30" hidden="false" customHeight="true" outlineLevel="0" collapsed="false">
      <c r="A13" s="22" t="s">
        <v>225</v>
      </c>
      <c r="B13" s="22" t="s">
        <v>514</v>
      </c>
      <c r="C13" s="22" t="s">
        <v>515</v>
      </c>
      <c r="D13" s="22" t="s">
        <v>516</v>
      </c>
      <c r="E13" s="24" t="s">
        <v>483</v>
      </c>
      <c r="F13" s="22" t="s">
        <v>517</v>
      </c>
    </row>
    <row r="14" customFormat="false" ht="18" hidden="false" customHeight="true" outlineLevel="0" collapsed="false">
      <c r="A14" s="27" t="s">
        <v>225</v>
      </c>
      <c r="B14" s="27" t="s">
        <v>518</v>
      </c>
      <c r="C14" s="27" t="s">
        <v>519</v>
      </c>
      <c r="D14" s="27" t="s">
        <v>520</v>
      </c>
      <c r="E14" s="29" t="s">
        <v>483</v>
      </c>
      <c r="F14" s="27" t="s">
        <v>521</v>
      </c>
    </row>
    <row r="15" customFormat="false" ht="30" hidden="false" customHeight="true" outlineLevel="0" collapsed="false">
      <c r="A15" s="22" t="s">
        <v>522</v>
      </c>
      <c r="B15" s="22" t="s">
        <v>523</v>
      </c>
      <c r="C15" s="22" t="s">
        <v>524</v>
      </c>
      <c r="D15" s="22" t="s">
        <v>525</v>
      </c>
      <c r="E15" s="24" t="s">
        <v>483</v>
      </c>
      <c r="F15" s="22" t="s">
        <v>526</v>
      </c>
    </row>
    <row r="16" customFormat="false" ht="18" hidden="false" customHeight="true" outlineLevel="0" collapsed="false">
      <c r="A16" s="27" t="s">
        <v>527</v>
      </c>
      <c r="B16" s="27" t="s">
        <v>528</v>
      </c>
      <c r="C16" s="27" t="s">
        <v>529</v>
      </c>
      <c r="D16" s="27" t="s">
        <v>530</v>
      </c>
      <c r="E16" s="29" t="s">
        <v>483</v>
      </c>
      <c r="F16" s="27" t="s">
        <v>531</v>
      </c>
    </row>
    <row r="17" customFormat="false" ht="30" hidden="false" customHeight="true" outlineLevel="0" collapsed="false">
      <c r="A17" s="22" t="s">
        <v>527</v>
      </c>
      <c r="B17" s="22" t="s">
        <v>532</v>
      </c>
      <c r="C17" s="22" t="s">
        <v>533</v>
      </c>
      <c r="D17" s="22" t="s">
        <v>534</v>
      </c>
      <c r="E17" s="24" t="s">
        <v>483</v>
      </c>
      <c r="F17" s="22" t="s">
        <v>535</v>
      </c>
    </row>
    <row r="18" customFormat="false" ht="30" hidden="false" customHeight="true" outlineLevel="0" collapsed="false">
      <c r="A18" s="27" t="s">
        <v>527</v>
      </c>
      <c r="B18" s="27" t="s">
        <v>536</v>
      </c>
      <c r="C18" s="27" t="s">
        <v>537</v>
      </c>
      <c r="D18" s="27" t="s">
        <v>538</v>
      </c>
      <c r="E18" s="29" t="s">
        <v>483</v>
      </c>
      <c r="F18" s="27" t="s">
        <v>539</v>
      </c>
    </row>
    <row r="19" customFormat="false" ht="30" hidden="false" customHeight="true" outlineLevel="0" collapsed="false">
      <c r="A19" s="22" t="s">
        <v>527</v>
      </c>
      <c r="B19" s="22" t="s">
        <v>540</v>
      </c>
      <c r="C19" s="22" t="s">
        <v>541</v>
      </c>
      <c r="D19" s="22" t="s">
        <v>542</v>
      </c>
      <c r="E19" s="24" t="s">
        <v>543</v>
      </c>
      <c r="F19" s="22" t="s">
        <v>544</v>
      </c>
    </row>
    <row r="20" customFormat="false" ht="18" hidden="false" customHeight="true" outlineLevel="0" collapsed="false">
      <c r="A20" s="27" t="s">
        <v>527</v>
      </c>
      <c r="B20" s="27" t="s">
        <v>545</v>
      </c>
      <c r="C20" s="27" t="s">
        <v>546</v>
      </c>
      <c r="D20" s="27" t="s">
        <v>547</v>
      </c>
      <c r="E20" s="29" t="s">
        <v>483</v>
      </c>
      <c r="F20" s="27" t="s">
        <v>548</v>
      </c>
    </row>
    <row r="21" customFormat="false" ht="30" hidden="false" customHeight="true" outlineLevel="0" collapsed="false">
      <c r="A21" s="22" t="s">
        <v>549</v>
      </c>
      <c r="B21" s="22" t="s">
        <v>550</v>
      </c>
      <c r="C21" s="22" t="s">
        <v>551</v>
      </c>
      <c r="D21" s="22" t="s">
        <v>552</v>
      </c>
      <c r="E21" s="24" t="s">
        <v>483</v>
      </c>
      <c r="F21" s="22" t="s">
        <v>553</v>
      </c>
    </row>
    <row r="22" customFormat="false" ht="18" hidden="false" customHeight="true" outlineLevel="0" collapsed="false">
      <c r="A22" s="27" t="s">
        <v>549</v>
      </c>
      <c r="B22" s="27" t="s">
        <v>554</v>
      </c>
      <c r="C22" s="27" t="s">
        <v>555</v>
      </c>
      <c r="D22" s="27" t="s">
        <v>556</v>
      </c>
      <c r="E22" s="29" t="s">
        <v>483</v>
      </c>
      <c r="F22" s="27" t="s">
        <v>557</v>
      </c>
    </row>
    <row r="23" customFormat="false" ht="18" hidden="false" customHeight="true" outlineLevel="0" collapsed="false">
      <c r="A23" s="22" t="s">
        <v>558</v>
      </c>
      <c r="B23" s="22" t="s">
        <v>559</v>
      </c>
      <c r="C23" s="22" t="s">
        <v>560</v>
      </c>
      <c r="D23" s="22" t="s">
        <v>561</v>
      </c>
      <c r="E23" s="24" t="s">
        <v>483</v>
      </c>
      <c r="F23" s="22" t="s">
        <v>562</v>
      </c>
    </row>
    <row r="24" customFormat="false" ht="18" hidden="false" customHeight="true" outlineLevel="0" collapsed="false">
      <c r="A24" s="27" t="s">
        <v>187</v>
      </c>
      <c r="B24" s="27" t="s">
        <v>563</v>
      </c>
      <c r="C24" s="27" t="s">
        <v>564</v>
      </c>
      <c r="D24" s="27" t="s">
        <v>565</v>
      </c>
      <c r="E24" s="29" t="s">
        <v>483</v>
      </c>
      <c r="F24" s="27" t="s">
        <v>566</v>
      </c>
    </row>
    <row r="25" customFormat="false" ht="30" hidden="false" customHeight="true" outlineLevel="0" collapsed="false">
      <c r="A25" s="22" t="s">
        <v>187</v>
      </c>
      <c r="B25" s="22" t="s">
        <v>567</v>
      </c>
      <c r="C25" s="22" t="s">
        <v>568</v>
      </c>
      <c r="D25" s="22" t="s">
        <v>569</v>
      </c>
      <c r="E25" s="24" t="s">
        <v>570</v>
      </c>
      <c r="F25" s="22" t="s">
        <v>571</v>
      </c>
    </row>
    <row r="26" customFormat="false" ht="18" hidden="false" customHeight="true" outlineLevel="0" collapsed="false">
      <c r="A26" s="27" t="s">
        <v>187</v>
      </c>
      <c r="B26" s="27" t="s">
        <v>572</v>
      </c>
      <c r="C26" s="27" t="s">
        <v>573</v>
      </c>
      <c r="D26" s="27" t="s">
        <v>574</v>
      </c>
      <c r="E26" s="29" t="s">
        <v>483</v>
      </c>
      <c r="F26" s="27" t="s">
        <v>575</v>
      </c>
    </row>
    <row r="27" customFormat="false" ht="30" hidden="false" customHeight="true" outlineLevel="0" collapsed="false">
      <c r="A27" s="22" t="s">
        <v>576</v>
      </c>
      <c r="B27" s="22" t="s">
        <v>60</v>
      </c>
      <c r="C27" s="22" t="s">
        <v>577</v>
      </c>
      <c r="D27" s="22" t="s">
        <v>578</v>
      </c>
      <c r="E27" s="24" t="s">
        <v>483</v>
      </c>
      <c r="F27" s="22" t="s">
        <v>579</v>
      </c>
    </row>
    <row r="28" customFormat="false" ht="30" hidden="false" customHeight="true" outlineLevel="0" collapsed="false">
      <c r="A28" s="27" t="s">
        <v>580</v>
      </c>
      <c r="B28" s="27" t="s">
        <v>581</v>
      </c>
      <c r="C28" s="27" t="s">
        <v>582</v>
      </c>
      <c r="D28" s="27" t="s">
        <v>583</v>
      </c>
      <c r="E28" s="29" t="s">
        <v>483</v>
      </c>
      <c r="F28" s="27" t="s">
        <v>584</v>
      </c>
    </row>
    <row r="29" customFormat="false" ht="18" hidden="false" customHeight="true" outlineLevel="0" collapsed="false">
      <c r="A29" s="22" t="s">
        <v>585</v>
      </c>
      <c r="B29" s="22" t="s">
        <v>586</v>
      </c>
      <c r="C29" s="22" t="s">
        <v>587</v>
      </c>
      <c r="D29" s="22" t="s">
        <v>588</v>
      </c>
      <c r="E29" s="24" t="s">
        <v>483</v>
      </c>
      <c r="F29" s="22" t="s">
        <v>589</v>
      </c>
    </row>
    <row r="30" customFormat="false" ht="30" hidden="false" customHeight="true" outlineLevel="0" collapsed="false">
      <c r="A30" s="27" t="s">
        <v>590</v>
      </c>
      <c r="B30" s="27" t="s">
        <v>591</v>
      </c>
      <c r="C30" s="27" t="s">
        <v>592</v>
      </c>
      <c r="D30" s="27" t="s">
        <v>593</v>
      </c>
      <c r="E30" s="29" t="s">
        <v>483</v>
      </c>
      <c r="F30" s="27" t="s">
        <v>594</v>
      </c>
    </row>
  </sheetData>
  <autoFilter ref="A4:F30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8"/>
  </cols>
  <sheetData>
    <row r="1" customFormat="false" ht="30" hidden="false" customHeight="true" outlineLevel="0" collapsed="false">
      <c r="A1" s="1" t="s">
        <v>595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596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20" t="s">
        <v>597</v>
      </c>
      <c r="B4" s="20" t="s">
        <v>598</v>
      </c>
      <c r="C4" s="20" t="s">
        <v>599</v>
      </c>
      <c r="D4" s="20" t="s">
        <v>600</v>
      </c>
      <c r="E4" s="20" t="s">
        <v>601</v>
      </c>
      <c r="F4" s="20" t="s">
        <v>602</v>
      </c>
      <c r="G4" s="20" t="s">
        <v>70</v>
      </c>
    </row>
    <row r="5" customFormat="false" ht="30" hidden="false" customHeight="true" outlineLevel="0" collapsed="false">
      <c r="A5" s="22" t="s">
        <v>603</v>
      </c>
      <c r="B5" s="22" t="s">
        <v>604</v>
      </c>
      <c r="C5" s="22" t="s">
        <v>605</v>
      </c>
      <c r="D5" s="22" t="s">
        <v>606</v>
      </c>
      <c r="E5" s="22" t="s">
        <v>607</v>
      </c>
      <c r="F5" s="22" t="s">
        <v>608</v>
      </c>
      <c r="G5" s="24" t="s">
        <v>107</v>
      </c>
    </row>
    <row r="6" customFormat="false" ht="30" hidden="false" customHeight="true" outlineLevel="0" collapsed="false">
      <c r="A6" s="27" t="s">
        <v>609</v>
      </c>
      <c r="B6" s="27" t="s">
        <v>610</v>
      </c>
      <c r="C6" s="27" t="s">
        <v>611</v>
      </c>
      <c r="D6" s="27" t="s">
        <v>612</v>
      </c>
      <c r="E6" s="27" t="s">
        <v>613</v>
      </c>
      <c r="F6" s="27" t="s">
        <v>614</v>
      </c>
      <c r="G6" s="29" t="s">
        <v>87</v>
      </c>
    </row>
    <row r="7" customFormat="false" ht="30" hidden="false" customHeight="true" outlineLevel="0" collapsed="false">
      <c r="A7" s="22" t="s">
        <v>209</v>
      </c>
      <c r="B7" s="22" t="s">
        <v>615</v>
      </c>
      <c r="C7" s="22" t="s">
        <v>616</v>
      </c>
      <c r="D7" s="22" t="s">
        <v>617</v>
      </c>
      <c r="E7" s="22" t="s">
        <v>613</v>
      </c>
      <c r="F7" s="22" t="s">
        <v>618</v>
      </c>
      <c r="G7" s="24" t="s">
        <v>87</v>
      </c>
    </row>
    <row r="8" customFormat="false" ht="30" hidden="false" customHeight="true" outlineLevel="0" collapsed="false">
      <c r="A8" s="27" t="s">
        <v>619</v>
      </c>
      <c r="B8" s="27" t="s">
        <v>620</v>
      </c>
      <c r="C8" s="27" t="s">
        <v>616</v>
      </c>
      <c r="D8" s="27" t="s">
        <v>621</v>
      </c>
      <c r="E8" s="27" t="s">
        <v>613</v>
      </c>
      <c r="F8" s="27" t="s">
        <v>622</v>
      </c>
      <c r="G8" s="29" t="s">
        <v>87</v>
      </c>
    </row>
    <row r="9" customFormat="false" ht="30" hidden="false" customHeight="true" outlineLevel="0" collapsed="false">
      <c r="A9" s="22" t="s">
        <v>623</v>
      </c>
      <c r="B9" s="22" t="s">
        <v>624</v>
      </c>
      <c r="C9" s="22" t="s">
        <v>625</v>
      </c>
      <c r="D9" s="22" t="s">
        <v>621</v>
      </c>
      <c r="E9" s="22" t="s">
        <v>613</v>
      </c>
      <c r="F9" s="22" t="s">
        <v>626</v>
      </c>
      <c r="G9" s="24" t="s">
        <v>92</v>
      </c>
    </row>
    <row r="10" customFormat="false" ht="30" hidden="false" customHeight="true" outlineLevel="0" collapsed="false">
      <c r="A10" s="27" t="s">
        <v>627</v>
      </c>
      <c r="B10" s="27" t="s">
        <v>628</v>
      </c>
      <c r="C10" s="27" t="s">
        <v>629</v>
      </c>
      <c r="D10" s="27" t="s">
        <v>630</v>
      </c>
      <c r="E10" s="27" t="s">
        <v>613</v>
      </c>
      <c r="F10" s="27" t="s">
        <v>631</v>
      </c>
      <c r="G10" s="29" t="s">
        <v>97</v>
      </c>
    </row>
    <row r="11" customFormat="false" ht="30" hidden="false" customHeight="true" outlineLevel="0" collapsed="false">
      <c r="A11" s="22" t="s">
        <v>632</v>
      </c>
      <c r="B11" s="22" t="s">
        <v>633</v>
      </c>
      <c r="C11" s="22" t="s">
        <v>634</v>
      </c>
      <c r="D11" s="22" t="s">
        <v>635</v>
      </c>
      <c r="E11" s="22" t="s">
        <v>636</v>
      </c>
      <c r="F11" s="22" t="s">
        <v>637</v>
      </c>
      <c r="G11" s="24" t="s">
        <v>97</v>
      </c>
    </row>
    <row r="12" customFormat="false" ht="30" hidden="false" customHeight="true" outlineLevel="0" collapsed="false">
      <c r="A12" s="27" t="s">
        <v>638</v>
      </c>
      <c r="B12" s="27" t="s">
        <v>639</v>
      </c>
      <c r="C12" s="27" t="s">
        <v>640</v>
      </c>
      <c r="D12" s="27" t="s">
        <v>641</v>
      </c>
      <c r="E12" s="27" t="s">
        <v>642</v>
      </c>
      <c r="F12" s="27" t="s">
        <v>643</v>
      </c>
      <c r="G12" s="29" t="s">
        <v>97</v>
      </c>
    </row>
    <row r="13" customFormat="false" ht="30" hidden="false" customHeight="true" outlineLevel="0" collapsed="false">
      <c r="A13" s="22" t="s">
        <v>644</v>
      </c>
      <c r="B13" s="22" t="s">
        <v>645</v>
      </c>
      <c r="C13" s="22" t="s">
        <v>646</v>
      </c>
      <c r="D13" s="22" t="s">
        <v>647</v>
      </c>
      <c r="E13" s="22" t="s">
        <v>648</v>
      </c>
      <c r="F13" s="22" t="s">
        <v>649</v>
      </c>
      <c r="G13" s="24" t="s">
        <v>102</v>
      </c>
    </row>
    <row r="14" customFormat="false" ht="30" hidden="false" customHeight="true" outlineLevel="0" collapsed="false">
      <c r="A14" s="27" t="s">
        <v>650</v>
      </c>
      <c r="B14" s="27" t="s">
        <v>651</v>
      </c>
      <c r="C14" s="27" t="s">
        <v>652</v>
      </c>
      <c r="D14" s="27" t="s">
        <v>653</v>
      </c>
      <c r="E14" s="27" t="s">
        <v>607</v>
      </c>
      <c r="F14" s="27" t="s">
        <v>654</v>
      </c>
      <c r="G14" s="29" t="s">
        <v>92</v>
      </c>
    </row>
    <row r="15" customFormat="false" ht="30" hidden="false" customHeight="true" outlineLevel="0" collapsed="false">
      <c r="A15" s="22" t="s">
        <v>655</v>
      </c>
      <c r="B15" s="22" t="s">
        <v>656</v>
      </c>
      <c r="C15" s="22" t="s">
        <v>657</v>
      </c>
      <c r="D15" s="22" t="s">
        <v>658</v>
      </c>
      <c r="E15" s="22" t="s">
        <v>659</v>
      </c>
      <c r="F15" s="22" t="s">
        <v>660</v>
      </c>
      <c r="G15" s="24" t="s">
        <v>102</v>
      </c>
    </row>
    <row r="16" customFormat="false" ht="18" hidden="false" customHeight="true" outlineLevel="0" collapsed="false">
      <c r="A16" s="27" t="s">
        <v>661</v>
      </c>
      <c r="B16" s="27" t="s">
        <v>662</v>
      </c>
      <c r="C16" s="27" t="s">
        <v>573</v>
      </c>
      <c r="D16" s="27" t="s">
        <v>663</v>
      </c>
      <c r="E16" s="27" t="s">
        <v>664</v>
      </c>
      <c r="F16" s="27" t="s">
        <v>607</v>
      </c>
      <c r="G16" s="29" t="s">
        <v>107</v>
      </c>
    </row>
    <row r="18" customFormat="false" ht="15" hidden="false" customHeight="false" outlineLevel="0" collapsed="false">
      <c r="A18" s="55" t="s">
        <v>665</v>
      </c>
    </row>
    <row r="19" customFormat="false" ht="30" hidden="false" customHeight="true" outlineLevel="0" collapsed="false">
      <c r="A19" s="20" t="s">
        <v>666</v>
      </c>
      <c r="B19" s="20" t="s">
        <v>475</v>
      </c>
      <c r="C19" s="20" t="s">
        <v>667</v>
      </c>
      <c r="D19" s="20" t="s">
        <v>668</v>
      </c>
    </row>
    <row r="20" customFormat="false" ht="55.5" hidden="false" customHeight="true" outlineLevel="0" collapsed="false">
      <c r="A20" s="22" t="s">
        <v>669</v>
      </c>
      <c r="B20" s="22" t="s">
        <v>670</v>
      </c>
      <c r="C20" s="22" t="s">
        <v>671</v>
      </c>
      <c r="D20" s="22" t="s">
        <v>672</v>
      </c>
    </row>
    <row r="21" customFormat="false" ht="55.5" hidden="false" customHeight="true" outlineLevel="0" collapsed="false">
      <c r="A21" s="27" t="s">
        <v>673</v>
      </c>
      <c r="B21" s="27" t="s">
        <v>674</v>
      </c>
      <c r="C21" s="27" t="s">
        <v>675</v>
      </c>
      <c r="D21" s="27" t="s">
        <v>676</v>
      </c>
    </row>
    <row r="22" customFormat="false" ht="42.75" hidden="false" customHeight="true" outlineLevel="0" collapsed="false">
      <c r="A22" s="22" t="s">
        <v>677</v>
      </c>
      <c r="B22" s="22" t="s">
        <v>678</v>
      </c>
      <c r="C22" s="22" t="s">
        <v>679</v>
      </c>
      <c r="D22" s="22" t="s">
        <v>680</v>
      </c>
    </row>
    <row r="23" customFormat="false" ht="42.75" hidden="false" customHeight="true" outlineLevel="0" collapsed="false">
      <c r="A23" s="27" t="s">
        <v>681</v>
      </c>
      <c r="B23" s="27" t="s">
        <v>682</v>
      </c>
      <c r="C23" s="27" t="s">
        <v>683</v>
      </c>
      <c r="D23" s="27" t="s">
        <v>684</v>
      </c>
    </row>
    <row r="24" customFormat="false" ht="55.5" hidden="false" customHeight="true" outlineLevel="0" collapsed="false">
      <c r="A24" s="22" t="s">
        <v>685</v>
      </c>
      <c r="B24" s="22" t="s">
        <v>686</v>
      </c>
      <c r="C24" s="22" t="s">
        <v>687</v>
      </c>
      <c r="D24" s="22" t="s">
        <v>688</v>
      </c>
    </row>
    <row r="25" customFormat="false" ht="42.75" hidden="false" customHeight="true" outlineLevel="0" collapsed="false">
      <c r="A25" s="27" t="s">
        <v>689</v>
      </c>
      <c r="B25" s="27" t="s">
        <v>690</v>
      </c>
      <c r="C25" s="27" t="s">
        <v>691</v>
      </c>
      <c r="D25" s="27" t="s">
        <v>692</v>
      </c>
    </row>
    <row r="26" customFormat="false" ht="42.75" hidden="false" customHeight="true" outlineLevel="0" collapsed="false">
      <c r="A26" s="22" t="s">
        <v>693</v>
      </c>
      <c r="B26" s="22" t="s">
        <v>694</v>
      </c>
      <c r="C26" s="22" t="s">
        <v>695</v>
      </c>
      <c r="D26" s="22" t="s">
        <v>696</v>
      </c>
    </row>
    <row r="27" customFormat="false" ht="30" hidden="false" customHeight="true" outlineLevel="0" collapsed="false">
      <c r="A27" s="27" t="s">
        <v>559</v>
      </c>
      <c r="B27" s="27" t="s">
        <v>697</v>
      </c>
      <c r="C27" s="27" t="s">
        <v>698</v>
      </c>
      <c r="D27" s="27" t="s">
        <v>699</v>
      </c>
    </row>
    <row r="28" customFormat="false" ht="42.75" hidden="false" customHeight="true" outlineLevel="0" collapsed="false">
      <c r="A28" s="22" t="s">
        <v>580</v>
      </c>
      <c r="B28" s="22" t="s">
        <v>700</v>
      </c>
      <c r="C28" s="22" t="s">
        <v>701</v>
      </c>
      <c r="D28" s="22" t="s">
        <v>702</v>
      </c>
    </row>
    <row r="29" customFormat="false" ht="30" hidden="false" customHeight="true" outlineLevel="0" collapsed="false">
      <c r="A29" s="27" t="s">
        <v>703</v>
      </c>
      <c r="B29" s="27" t="s">
        <v>704</v>
      </c>
      <c r="C29" s="27" t="s">
        <v>705</v>
      </c>
      <c r="D29" s="27" t="s">
        <v>706</v>
      </c>
    </row>
  </sheetData>
  <autoFilter ref="A4:G16"/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52"/>
  </cols>
  <sheetData>
    <row r="1" customFormat="false" ht="30" hidden="false" customHeight="true" outlineLevel="0" collapsed="false">
      <c r="A1" s="1" t="s">
        <v>707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708</v>
      </c>
      <c r="B2" s="2"/>
      <c r="C2" s="2"/>
      <c r="D2" s="2"/>
      <c r="E2" s="2"/>
    </row>
    <row r="4" customFormat="false" ht="30" hidden="false" customHeight="true" outlineLevel="0" collapsed="false">
      <c r="A4" s="20" t="s">
        <v>709</v>
      </c>
      <c r="B4" s="20" t="s">
        <v>710</v>
      </c>
      <c r="C4" s="20" t="s">
        <v>711</v>
      </c>
      <c r="D4" s="20" t="s">
        <v>712</v>
      </c>
      <c r="E4" s="20" t="s">
        <v>713</v>
      </c>
    </row>
    <row r="5" customFormat="false" ht="18" hidden="false" customHeight="true" outlineLevel="0" collapsed="false">
      <c r="A5" s="22" t="s">
        <v>714</v>
      </c>
      <c r="B5" s="22" t="s">
        <v>715</v>
      </c>
      <c r="C5" s="22" t="s">
        <v>716</v>
      </c>
      <c r="D5" s="22" t="s">
        <v>717</v>
      </c>
      <c r="E5" s="22" t="s">
        <v>718</v>
      </c>
    </row>
    <row r="6" customFormat="false" ht="18" hidden="false" customHeight="true" outlineLevel="0" collapsed="false">
      <c r="A6" s="27" t="s">
        <v>714</v>
      </c>
      <c r="B6" s="27" t="s">
        <v>719</v>
      </c>
      <c r="C6" s="27" t="s">
        <v>720</v>
      </c>
      <c r="D6" s="27" t="s">
        <v>721</v>
      </c>
      <c r="E6" s="27" t="s">
        <v>722</v>
      </c>
    </row>
    <row r="7" customFormat="false" ht="18" hidden="false" customHeight="true" outlineLevel="0" collapsed="false">
      <c r="A7" s="22" t="s">
        <v>714</v>
      </c>
      <c r="B7" s="22" t="s">
        <v>723</v>
      </c>
      <c r="C7" s="22" t="s">
        <v>724</v>
      </c>
      <c r="D7" s="22" t="s">
        <v>725</v>
      </c>
      <c r="E7" s="22" t="s">
        <v>726</v>
      </c>
    </row>
    <row r="8" customFormat="false" ht="18" hidden="false" customHeight="true" outlineLevel="0" collapsed="false">
      <c r="A8" s="27" t="s">
        <v>714</v>
      </c>
      <c r="B8" s="27" t="s">
        <v>727</v>
      </c>
      <c r="C8" s="27" t="s">
        <v>728</v>
      </c>
      <c r="D8" s="27" t="s">
        <v>729</v>
      </c>
      <c r="E8" s="27" t="s">
        <v>730</v>
      </c>
    </row>
    <row r="9" customFormat="false" ht="18" hidden="false" customHeight="true" outlineLevel="0" collapsed="false">
      <c r="A9" s="22" t="s">
        <v>714</v>
      </c>
      <c r="B9" s="22" t="s">
        <v>731</v>
      </c>
      <c r="C9" s="22" t="s">
        <v>724</v>
      </c>
      <c r="D9" s="22" t="s">
        <v>721</v>
      </c>
      <c r="E9" s="22" t="s">
        <v>732</v>
      </c>
    </row>
    <row r="10" customFormat="false" ht="18" hidden="false" customHeight="true" outlineLevel="0" collapsed="false">
      <c r="A10" s="27" t="s">
        <v>714</v>
      </c>
      <c r="B10" s="27" t="s">
        <v>733</v>
      </c>
      <c r="C10" s="27" t="s">
        <v>734</v>
      </c>
      <c r="D10" s="27" t="s">
        <v>721</v>
      </c>
      <c r="E10" s="27" t="s">
        <v>735</v>
      </c>
    </row>
    <row r="11" customFormat="false" ht="18" hidden="false" customHeight="true" outlineLevel="0" collapsed="false">
      <c r="A11" s="22" t="s">
        <v>714</v>
      </c>
      <c r="B11" s="22" t="s">
        <v>736</v>
      </c>
      <c r="C11" s="22" t="s">
        <v>737</v>
      </c>
      <c r="D11" s="22" t="s">
        <v>738</v>
      </c>
      <c r="E11" s="22" t="s">
        <v>739</v>
      </c>
    </row>
    <row r="12" customFormat="false" ht="18" hidden="false" customHeight="true" outlineLevel="0" collapsed="false">
      <c r="A12" s="27" t="s">
        <v>714</v>
      </c>
      <c r="B12" s="27" t="s">
        <v>740</v>
      </c>
      <c r="C12" s="27" t="s">
        <v>741</v>
      </c>
      <c r="D12" s="27" t="s">
        <v>742</v>
      </c>
      <c r="E12" s="27" t="s">
        <v>743</v>
      </c>
    </row>
    <row r="13" customFormat="false" ht="18" hidden="false" customHeight="true" outlineLevel="0" collapsed="false">
      <c r="A13" s="22" t="s">
        <v>744</v>
      </c>
      <c r="B13" s="22" t="s">
        <v>715</v>
      </c>
      <c r="C13" s="22" t="s">
        <v>716</v>
      </c>
      <c r="D13" s="22" t="s">
        <v>717</v>
      </c>
      <c r="E13" s="22" t="s">
        <v>745</v>
      </c>
    </row>
    <row r="14" customFormat="false" ht="18" hidden="false" customHeight="true" outlineLevel="0" collapsed="false">
      <c r="A14" s="27" t="s">
        <v>744</v>
      </c>
      <c r="B14" s="27" t="s">
        <v>746</v>
      </c>
      <c r="C14" s="27" t="s">
        <v>747</v>
      </c>
      <c r="D14" s="27" t="s">
        <v>721</v>
      </c>
      <c r="E14" s="27" t="s">
        <v>748</v>
      </c>
    </row>
    <row r="15" customFormat="false" ht="18" hidden="false" customHeight="true" outlineLevel="0" collapsed="false">
      <c r="A15" s="22" t="s">
        <v>744</v>
      </c>
      <c r="B15" s="22" t="s">
        <v>749</v>
      </c>
      <c r="C15" s="22" t="s">
        <v>750</v>
      </c>
      <c r="D15" s="22" t="s">
        <v>721</v>
      </c>
      <c r="E15" s="22" t="s">
        <v>751</v>
      </c>
    </row>
    <row r="16" customFormat="false" ht="18" hidden="false" customHeight="true" outlineLevel="0" collapsed="false">
      <c r="A16" s="27" t="s">
        <v>744</v>
      </c>
      <c r="B16" s="27" t="s">
        <v>752</v>
      </c>
      <c r="C16" s="27" t="s">
        <v>734</v>
      </c>
      <c r="D16" s="27" t="s">
        <v>729</v>
      </c>
      <c r="E16" s="27" t="s">
        <v>753</v>
      </c>
    </row>
    <row r="17" customFormat="false" ht="18" hidden="false" customHeight="true" outlineLevel="0" collapsed="false">
      <c r="A17" s="22" t="s">
        <v>744</v>
      </c>
      <c r="B17" s="22" t="s">
        <v>754</v>
      </c>
      <c r="C17" s="22" t="s">
        <v>734</v>
      </c>
      <c r="D17" s="22" t="s">
        <v>729</v>
      </c>
      <c r="E17" s="22" t="s">
        <v>755</v>
      </c>
    </row>
    <row r="18" customFormat="false" ht="18" hidden="false" customHeight="true" outlineLevel="0" collapsed="false">
      <c r="A18" s="27" t="s">
        <v>744</v>
      </c>
      <c r="B18" s="27" t="s">
        <v>756</v>
      </c>
      <c r="C18" s="27" t="s">
        <v>757</v>
      </c>
      <c r="D18" s="27" t="s">
        <v>758</v>
      </c>
      <c r="E18" s="27" t="s">
        <v>759</v>
      </c>
    </row>
    <row r="19" customFormat="false" ht="18" hidden="false" customHeight="true" outlineLevel="0" collapsed="false">
      <c r="A19" s="22" t="s">
        <v>744</v>
      </c>
      <c r="B19" s="22" t="s">
        <v>760</v>
      </c>
      <c r="C19" s="22" t="s">
        <v>761</v>
      </c>
      <c r="D19" s="22" t="s">
        <v>762</v>
      </c>
      <c r="E19" s="22" t="s">
        <v>763</v>
      </c>
    </row>
    <row r="20" customFormat="false" ht="18" hidden="false" customHeight="true" outlineLevel="0" collapsed="false">
      <c r="A20" s="27" t="s">
        <v>744</v>
      </c>
      <c r="B20" s="27" t="s">
        <v>764</v>
      </c>
      <c r="C20" s="27" t="s">
        <v>765</v>
      </c>
      <c r="D20" s="27" t="s">
        <v>766</v>
      </c>
      <c r="E20" s="27" t="s">
        <v>767</v>
      </c>
    </row>
    <row r="21" customFormat="false" ht="18" hidden="false" customHeight="true" outlineLevel="0" collapsed="false">
      <c r="A21" s="22" t="s">
        <v>744</v>
      </c>
      <c r="B21" s="22" t="s">
        <v>768</v>
      </c>
      <c r="C21" s="22" t="s">
        <v>724</v>
      </c>
      <c r="D21" s="22" t="s">
        <v>729</v>
      </c>
      <c r="E21" s="22" t="s">
        <v>769</v>
      </c>
    </row>
    <row r="22" customFormat="false" ht="18" hidden="false" customHeight="true" outlineLevel="0" collapsed="false">
      <c r="A22" s="27" t="s">
        <v>744</v>
      </c>
      <c r="B22" s="27" t="s">
        <v>770</v>
      </c>
      <c r="C22" s="27" t="s">
        <v>734</v>
      </c>
      <c r="D22" s="27" t="s">
        <v>721</v>
      </c>
      <c r="E22" s="27" t="s">
        <v>771</v>
      </c>
    </row>
    <row r="23" customFormat="false" ht="18" hidden="false" customHeight="true" outlineLevel="0" collapsed="false">
      <c r="A23" s="22" t="s">
        <v>744</v>
      </c>
      <c r="B23" s="22" t="s">
        <v>772</v>
      </c>
      <c r="C23" s="22" t="s">
        <v>757</v>
      </c>
      <c r="D23" s="22" t="s">
        <v>773</v>
      </c>
      <c r="E23" s="22" t="s">
        <v>774</v>
      </c>
    </row>
    <row r="24" customFormat="false" ht="18" hidden="false" customHeight="true" outlineLevel="0" collapsed="false">
      <c r="A24" s="27" t="s">
        <v>744</v>
      </c>
      <c r="B24" s="27" t="s">
        <v>775</v>
      </c>
      <c r="C24" s="27" t="s">
        <v>716</v>
      </c>
      <c r="D24" s="27" t="s">
        <v>776</v>
      </c>
      <c r="E24" s="27" t="s">
        <v>777</v>
      </c>
    </row>
    <row r="25" customFormat="false" ht="18" hidden="false" customHeight="true" outlineLevel="0" collapsed="false">
      <c r="A25" s="22" t="s">
        <v>744</v>
      </c>
      <c r="B25" s="22" t="s">
        <v>778</v>
      </c>
      <c r="C25" s="22" t="s">
        <v>741</v>
      </c>
      <c r="D25" s="22" t="s">
        <v>762</v>
      </c>
      <c r="E25" s="22" t="s">
        <v>779</v>
      </c>
    </row>
    <row r="26" customFormat="false" ht="18" hidden="false" customHeight="true" outlineLevel="0" collapsed="false">
      <c r="A26" s="27" t="s">
        <v>780</v>
      </c>
      <c r="B26" s="27" t="s">
        <v>715</v>
      </c>
      <c r="C26" s="27" t="s">
        <v>716</v>
      </c>
      <c r="D26" s="27" t="s">
        <v>717</v>
      </c>
      <c r="E26" s="27" t="s">
        <v>781</v>
      </c>
    </row>
    <row r="27" customFormat="false" ht="18" hidden="false" customHeight="true" outlineLevel="0" collapsed="false">
      <c r="A27" s="22" t="s">
        <v>780</v>
      </c>
      <c r="B27" s="22" t="s">
        <v>782</v>
      </c>
      <c r="C27" s="22" t="s">
        <v>716</v>
      </c>
      <c r="D27" s="22" t="s">
        <v>783</v>
      </c>
      <c r="E27" s="22" t="s">
        <v>784</v>
      </c>
    </row>
    <row r="28" customFormat="false" ht="18" hidden="false" customHeight="true" outlineLevel="0" collapsed="false">
      <c r="A28" s="27" t="s">
        <v>780</v>
      </c>
      <c r="B28" s="27" t="s">
        <v>785</v>
      </c>
      <c r="C28" s="27" t="s">
        <v>716</v>
      </c>
      <c r="D28" s="27" t="s">
        <v>786</v>
      </c>
      <c r="E28" s="27" t="s">
        <v>787</v>
      </c>
    </row>
    <row r="29" customFormat="false" ht="18" hidden="false" customHeight="true" outlineLevel="0" collapsed="false">
      <c r="A29" s="22" t="s">
        <v>780</v>
      </c>
      <c r="B29" s="22" t="s">
        <v>788</v>
      </c>
      <c r="C29" s="22" t="s">
        <v>750</v>
      </c>
      <c r="D29" s="22" t="s">
        <v>721</v>
      </c>
      <c r="E29" s="22" t="s">
        <v>789</v>
      </c>
    </row>
    <row r="30" customFormat="false" ht="18" hidden="false" customHeight="true" outlineLevel="0" collapsed="false">
      <c r="A30" s="27" t="s">
        <v>780</v>
      </c>
      <c r="B30" s="27" t="s">
        <v>790</v>
      </c>
      <c r="C30" s="27" t="s">
        <v>791</v>
      </c>
      <c r="D30" s="27" t="s">
        <v>792</v>
      </c>
      <c r="E30" s="27" t="s">
        <v>793</v>
      </c>
    </row>
    <row r="31" customFormat="false" ht="18" hidden="false" customHeight="true" outlineLevel="0" collapsed="false">
      <c r="A31" s="22" t="s">
        <v>780</v>
      </c>
      <c r="B31" s="22" t="s">
        <v>794</v>
      </c>
      <c r="C31" s="22" t="s">
        <v>734</v>
      </c>
      <c r="D31" s="22" t="s">
        <v>721</v>
      </c>
      <c r="E31" s="22" t="s">
        <v>795</v>
      </c>
    </row>
    <row r="32" customFormat="false" ht="18" hidden="false" customHeight="true" outlineLevel="0" collapsed="false">
      <c r="A32" s="27" t="s">
        <v>780</v>
      </c>
      <c r="B32" s="27" t="s">
        <v>740</v>
      </c>
      <c r="C32" s="27" t="s">
        <v>741</v>
      </c>
      <c r="D32" s="27" t="s">
        <v>762</v>
      </c>
      <c r="E32" s="27" t="s">
        <v>796</v>
      </c>
    </row>
    <row r="33" customFormat="false" ht="18" hidden="false" customHeight="true" outlineLevel="0" collapsed="false">
      <c r="A33" s="22" t="s">
        <v>797</v>
      </c>
      <c r="B33" s="22" t="s">
        <v>798</v>
      </c>
      <c r="C33" s="22" t="s">
        <v>716</v>
      </c>
      <c r="D33" s="22" t="s">
        <v>799</v>
      </c>
      <c r="E33" s="22" t="s">
        <v>800</v>
      </c>
    </row>
    <row r="34" customFormat="false" ht="18" hidden="false" customHeight="true" outlineLevel="0" collapsed="false">
      <c r="A34" s="27" t="s">
        <v>797</v>
      </c>
      <c r="B34" s="27" t="s">
        <v>801</v>
      </c>
      <c r="C34" s="27" t="s">
        <v>802</v>
      </c>
      <c r="D34" s="27" t="s">
        <v>803</v>
      </c>
      <c r="E34" s="27" t="s">
        <v>804</v>
      </c>
    </row>
    <row r="35" customFormat="false" ht="18" hidden="false" customHeight="true" outlineLevel="0" collapsed="false">
      <c r="A35" s="22" t="s">
        <v>797</v>
      </c>
      <c r="B35" s="22" t="s">
        <v>805</v>
      </c>
      <c r="C35" s="22" t="s">
        <v>806</v>
      </c>
      <c r="D35" s="22" t="s">
        <v>721</v>
      </c>
      <c r="E35" s="22" t="s">
        <v>807</v>
      </c>
    </row>
    <row r="36" customFormat="false" ht="18" hidden="false" customHeight="true" outlineLevel="0" collapsed="false">
      <c r="A36" s="27" t="s">
        <v>808</v>
      </c>
      <c r="B36" s="27" t="s">
        <v>715</v>
      </c>
      <c r="C36" s="27" t="s">
        <v>716</v>
      </c>
      <c r="D36" s="27" t="s">
        <v>717</v>
      </c>
      <c r="E36" s="27" t="s">
        <v>809</v>
      </c>
    </row>
    <row r="37" customFormat="false" ht="18" hidden="false" customHeight="true" outlineLevel="0" collapsed="false">
      <c r="A37" s="22" t="s">
        <v>808</v>
      </c>
      <c r="B37" s="22" t="s">
        <v>798</v>
      </c>
      <c r="C37" s="22" t="s">
        <v>716</v>
      </c>
      <c r="D37" s="22" t="s">
        <v>810</v>
      </c>
      <c r="E37" s="22" t="s">
        <v>811</v>
      </c>
    </row>
    <row r="38" customFormat="false" ht="18" hidden="false" customHeight="true" outlineLevel="0" collapsed="false">
      <c r="A38" s="27" t="s">
        <v>808</v>
      </c>
      <c r="B38" s="27" t="s">
        <v>812</v>
      </c>
      <c r="C38" s="27" t="s">
        <v>724</v>
      </c>
      <c r="D38" s="27" t="s">
        <v>721</v>
      </c>
      <c r="E38" s="27" t="s">
        <v>813</v>
      </c>
    </row>
    <row r="39" customFormat="false" ht="18" hidden="false" customHeight="true" outlineLevel="0" collapsed="false">
      <c r="A39" s="22" t="s">
        <v>808</v>
      </c>
      <c r="B39" s="22" t="s">
        <v>814</v>
      </c>
      <c r="C39" s="22" t="s">
        <v>806</v>
      </c>
      <c r="D39" s="22" t="s">
        <v>815</v>
      </c>
      <c r="E39" s="22" t="s">
        <v>816</v>
      </c>
    </row>
    <row r="40" customFormat="false" ht="18" hidden="false" customHeight="true" outlineLevel="0" collapsed="false">
      <c r="A40" s="27" t="s">
        <v>808</v>
      </c>
      <c r="B40" s="27" t="s">
        <v>817</v>
      </c>
      <c r="C40" s="27" t="s">
        <v>818</v>
      </c>
      <c r="D40" s="27" t="s">
        <v>729</v>
      </c>
      <c r="E40" s="27" t="s">
        <v>819</v>
      </c>
    </row>
    <row r="41" customFormat="false" ht="18" hidden="false" customHeight="true" outlineLevel="0" collapsed="false">
      <c r="A41" s="22" t="s">
        <v>820</v>
      </c>
      <c r="B41" s="22" t="s">
        <v>715</v>
      </c>
      <c r="C41" s="22" t="s">
        <v>716</v>
      </c>
      <c r="D41" s="22" t="s">
        <v>717</v>
      </c>
      <c r="E41" s="22" t="s">
        <v>821</v>
      </c>
    </row>
    <row r="42" customFormat="false" ht="18" hidden="false" customHeight="true" outlineLevel="0" collapsed="false">
      <c r="A42" s="27" t="s">
        <v>820</v>
      </c>
      <c r="B42" s="27" t="s">
        <v>822</v>
      </c>
      <c r="C42" s="27" t="s">
        <v>716</v>
      </c>
      <c r="D42" s="27" t="s">
        <v>810</v>
      </c>
      <c r="E42" s="27" t="s">
        <v>823</v>
      </c>
    </row>
    <row r="43" customFormat="false" ht="18" hidden="false" customHeight="true" outlineLevel="0" collapsed="false">
      <c r="A43" s="22" t="s">
        <v>820</v>
      </c>
      <c r="B43" s="22" t="s">
        <v>824</v>
      </c>
      <c r="C43" s="22" t="s">
        <v>825</v>
      </c>
      <c r="D43" s="22" t="s">
        <v>721</v>
      </c>
      <c r="E43" s="22" t="s">
        <v>826</v>
      </c>
    </row>
    <row r="44" customFormat="false" ht="18" hidden="false" customHeight="true" outlineLevel="0" collapsed="false">
      <c r="A44" s="27" t="s">
        <v>820</v>
      </c>
      <c r="B44" s="27" t="s">
        <v>827</v>
      </c>
      <c r="C44" s="27" t="s">
        <v>806</v>
      </c>
      <c r="D44" s="27" t="s">
        <v>721</v>
      </c>
      <c r="E44" s="27" t="s">
        <v>828</v>
      </c>
    </row>
    <row r="45" customFormat="false" ht="18" hidden="false" customHeight="true" outlineLevel="0" collapsed="false">
      <c r="A45" s="22" t="s">
        <v>820</v>
      </c>
      <c r="B45" s="22" t="s">
        <v>829</v>
      </c>
      <c r="C45" s="22" t="s">
        <v>830</v>
      </c>
      <c r="D45" s="22" t="s">
        <v>831</v>
      </c>
      <c r="E45" s="22" t="s">
        <v>832</v>
      </c>
    </row>
    <row r="46" customFormat="false" ht="18" hidden="false" customHeight="true" outlineLevel="0" collapsed="false">
      <c r="A46" s="27" t="s">
        <v>820</v>
      </c>
      <c r="B46" s="27" t="s">
        <v>833</v>
      </c>
      <c r="C46" s="27" t="s">
        <v>716</v>
      </c>
      <c r="D46" s="27" t="s">
        <v>834</v>
      </c>
      <c r="E46" s="27" t="s">
        <v>835</v>
      </c>
    </row>
    <row r="47" customFormat="false" ht="18" hidden="false" customHeight="true" outlineLevel="0" collapsed="false">
      <c r="A47" s="22" t="s">
        <v>836</v>
      </c>
      <c r="B47" s="22" t="s">
        <v>715</v>
      </c>
      <c r="C47" s="22" t="s">
        <v>716</v>
      </c>
      <c r="D47" s="22" t="s">
        <v>717</v>
      </c>
      <c r="E47" s="22" t="s">
        <v>837</v>
      </c>
    </row>
    <row r="48" customFormat="false" ht="18" hidden="false" customHeight="true" outlineLevel="0" collapsed="false">
      <c r="A48" s="27" t="s">
        <v>836</v>
      </c>
      <c r="B48" s="27" t="s">
        <v>838</v>
      </c>
      <c r="C48" s="27" t="s">
        <v>734</v>
      </c>
      <c r="D48" s="27" t="s">
        <v>721</v>
      </c>
      <c r="E48" s="27" t="s">
        <v>839</v>
      </c>
    </row>
    <row r="49" customFormat="false" ht="18" hidden="false" customHeight="true" outlineLevel="0" collapsed="false">
      <c r="A49" s="22" t="s">
        <v>836</v>
      </c>
      <c r="B49" s="22" t="s">
        <v>719</v>
      </c>
      <c r="C49" s="22" t="s">
        <v>840</v>
      </c>
      <c r="D49" s="22" t="s">
        <v>721</v>
      </c>
      <c r="E49" s="22" t="s">
        <v>841</v>
      </c>
    </row>
    <row r="50" customFormat="false" ht="18" hidden="false" customHeight="true" outlineLevel="0" collapsed="false">
      <c r="A50" s="27" t="s">
        <v>836</v>
      </c>
      <c r="B50" s="27" t="s">
        <v>770</v>
      </c>
      <c r="C50" s="27" t="s">
        <v>734</v>
      </c>
      <c r="D50" s="27" t="s">
        <v>721</v>
      </c>
      <c r="E50" s="27" t="s">
        <v>842</v>
      </c>
    </row>
    <row r="51" customFormat="false" ht="18" hidden="false" customHeight="true" outlineLevel="0" collapsed="false">
      <c r="A51" s="22" t="s">
        <v>836</v>
      </c>
      <c r="B51" s="22" t="s">
        <v>764</v>
      </c>
      <c r="C51" s="22" t="s">
        <v>765</v>
      </c>
      <c r="D51" s="22" t="s">
        <v>766</v>
      </c>
      <c r="E51" s="22" t="s">
        <v>843</v>
      </c>
    </row>
    <row r="52" customFormat="false" ht="18" hidden="false" customHeight="true" outlineLevel="0" collapsed="false">
      <c r="A52" s="27" t="s">
        <v>836</v>
      </c>
      <c r="B52" s="27" t="s">
        <v>844</v>
      </c>
      <c r="C52" s="27" t="s">
        <v>757</v>
      </c>
      <c r="D52" s="27" t="s">
        <v>773</v>
      </c>
      <c r="E52" s="27" t="s">
        <v>845</v>
      </c>
    </row>
    <row r="53" customFormat="false" ht="18" hidden="false" customHeight="true" outlineLevel="0" collapsed="false">
      <c r="A53" s="22" t="s">
        <v>846</v>
      </c>
      <c r="B53" s="22" t="s">
        <v>715</v>
      </c>
      <c r="C53" s="22" t="s">
        <v>716</v>
      </c>
      <c r="D53" s="22" t="s">
        <v>717</v>
      </c>
      <c r="E53" s="22" t="s">
        <v>847</v>
      </c>
    </row>
    <row r="54" customFormat="false" ht="18" hidden="false" customHeight="true" outlineLevel="0" collapsed="false">
      <c r="A54" s="27" t="s">
        <v>846</v>
      </c>
      <c r="B54" s="27" t="s">
        <v>782</v>
      </c>
      <c r="C54" s="27" t="s">
        <v>716</v>
      </c>
      <c r="D54" s="27" t="s">
        <v>810</v>
      </c>
      <c r="E54" s="27" t="s">
        <v>848</v>
      </c>
    </row>
    <row r="55" customFormat="false" ht="18" hidden="false" customHeight="true" outlineLevel="0" collapsed="false">
      <c r="A55" s="22" t="s">
        <v>846</v>
      </c>
      <c r="B55" s="22" t="s">
        <v>849</v>
      </c>
      <c r="C55" s="22" t="s">
        <v>716</v>
      </c>
      <c r="D55" s="22" t="s">
        <v>810</v>
      </c>
      <c r="E55" s="22" t="s">
        <v>850</v>
      </c>
    </row>
    <row r="56" customFormat="false" ht="30" hidden="false" customHeight="true" outlineLevel="0" collapsed="false">
      <c r="A56" s="27" t="s">
        <v>846</v>
      </c>
      <c r="B56" s="27" t="s">
        <v>770</v>
      </c>
      <c r="C56" s="27" t="s">
        <v>734</v>
      </c>
      <c r="D56" s="27" t="s">
        <v>721</v>
      </c>
      <c r="E56" s="27" t="s">
        <v>851</v>
      </c>
    </row>
    <row r="57" customFormat="false" ht="18" hidden="false" customHeight="true" outlineLevel="0" collapsed="false">
      <c r="A57" s="22" t="s">
        <v>846</v>
      </c>
      <c r="B57" s="22" t="s">
        <v>852</v>
      </c>
      <c r="C57" s="22" t="s">
        <v>853</v>
      </c>
      <c r="D57" s="22" t="s">
        <v>729</v>
      </c>
      <c r="E57" s="22" t="s">
        <v>854</v>
      </c>
    </row>
    <row r="58" customFormat="false" ht="18" hidden="false" customHeight="true" outlineLevel="0" collapsed="false">
      <c r="A58" s="27" t="s">
        <v>846</v>
      </c>
      <c r="B58" s="27" t="s">
        <v>855</v>
      </c>
      <c r="C58" s="27" t="s">
        <v>741</v>
      </c>
      <c r="D58" s="27" t="s">
        <v>729</v>
      </c>
      <c r="E58" s="27" t="s">
        <v>856</v>
      </c>
    </row>
    <row r="59" customFormat="false" ht="30" hidden="false" customHeight="true" outlineLevel="0" collapsed="false">
      <c r="A59" s="22" t="s">
        <v>857</v>
      </c>
      <c r="B59" s="22" t="s">
        <v>858</v>
      </c>
      <c r="C59" s="22" t="s">
        <v>859</v>
      </c>
      <c r="D59" s="22" t="s">
        <v>860</v>
      </c>
      <c r="E59" s="22" t="s">
        <v>861</v>
      </c>
    </row>
    <row r="60" customFormat="false" ht="18" hidden="false" customHeight="true" outlineLevel="0" collapsed="false">
      <c r="A60" s="27" t="s">
        <v>862</v>
      </c>
      <c r="B60" s="27" t="s">
        <v>863</v>
      </c>
      <c r="C60" s="27" t="s">
        <v>864</v>
      </c>
      <c r="D60" s="27" t="s">
        <v>810</v>
      </c>
      <c r="E60" s="27" t="s">
        <v>389</v>
      </c>
    </row>
    <row r="61" customFormat="false" ht="18" hidden="false" customHeight="true" outlineLevel="0" collapsed="false">
      <c r="A61" s="22" t="s">
        <v>865</v>
      </c>
      <c r="B61" s="22" t="s">
        <v>715</v>
      </c>
      <c r="C61" s="22" t="s">
        <v>866</v>
      </c>
      <c r="D61" s="22" t="s">
        <v>717</v>
      </c>
      <c r="E61" s="22" t="s">
        <v>867</v>
      </c>
    </row>
    <row r="62" customFormat="false" ht="30" hidden="false" customHeight="true" outlineLevel="0" collapsed="false">
      <c r="A62" s="27" t="s">
        <v>865</v>
      </c>
      <c r="B62" s="27" t="s">
        <v>868</v>
      </c>
      <c r="C62" s="27" t="s">
        <v>869</v>
      </c>
      <c r="D62" s="27" t="s">
        <v>762</v>
      </c>
      <c r="E62" s="27" t="s">
        <v>870</v>
      </c>
    </row>
    <row r="63" customFormat="false" ht="18" hidden="false" customHeight="true" outlineLevel="0" collapsed="false">
      <c r="A63" s="22" t="s">
        <v>865</v>
      </c>
      <c r="B63" s="22" t="s">
        <v>871</v>
      </c>
      <c r="C63" s="22" t="s">
        <v>872</v>
      </c>
      <c r="D63" s="22" t="s">
        <v>721</v>
      </c>
      <c r="E63" s="22" t="s">
        <v>873</v>
      </c>
    </row>
    <row r="65" customFormat="false" ht="15" hidden="false" customHeight="false" outlineLevel="0" collapsed="false">
      <c r="A65" s="17" t="s">
        <v>874</v>
      </c>
    </row>
  </sheetData>
  <autoFilter ref="A4:E63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68"/>
    <col collapsed="false" customWidth="true" hidden="false" outlineLevel="0" max="5" min="5" style="0" width="8"/>
  </cols>
  <sheetData>
    <row r="1" customFormat="false" ht="30" hidden="false" customHeight="true" outlineLevel="0" collapsed="false">
      <c r="A1" s="1" t="s">
        <v>875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876</v>
      </c>
      <c r="B2" s="2"/>
      <c r="C2" s="2"/>
      <c r="D2" s="2"/>
      <c r="E2" s="2"/>
    </row>
    <row r="4" customFormat="false" ht="30" hidden="false" customHeight="true" outlineLevel="0" collapsed="false">
      <c r="A4" s="20" t="s">
        <v>877</v>
      </c>
      <c r="B4" s="20" t="s">
        <v>878</v>
      </c>
      <c r="C4" s="20" t="s">
        <v>879</v>
      </c>
      <c r="D4" s="20" t="s">
        <v>880</v>
      </c>
      <c r="E4" s="20" t="s">
        <v>70</v>
      </c>
    </row>
    <row r="5" customFormat="false" ht="18" hidden="false" customHeight="true" outlineLevel="0" collapsed="false">
      <c r="A5" s="24" t="s">
        <v>881</v>
      </c>
      <c r="B5" s="22" t="s">
        <v>882</v>
      </c>
      <c r="C5" s="22" t="s">
        <v>883</v>
      </c>
      <c r="D5" s="22" t="s">
        <v>884</v>
      </c>
      <c r="E5" s="24" t="s">
        <v>87</v>
      </c>
    </row>
    <row r="6" customFormat="false" ht="18" hidden="false" customHeight="true" outlineLevel="0" collapsed="false">
      <c r="A6" s="29" t="s">
        <v>881</v>
      </c>
      <c r="B6" s="27" t="s">
        <v>885</v>
      </c>
      <c r="C6" s="27" t="s">
        <v>883</v>
      </c>
      <c r="D6" s="27" t="s">
        <v>886</v>
      </c>
      <c r="E6" s="29" t="s">
        <v>87</v>
      </c>
    </row>
    <row r="7" customFormat="false" ht="18" hidden="false" customHeight="true" outlineLevel="0" collapsed="false">
      <c r="A7" s="24" t="s">
        <v>881</v>
      </c>
      <c r="B7" s="22" t="s">
        <v>887</v>
      </c>
      <c r="C7" s="22" t="s">
        <v>888</v>
      </c>
      <c r="D7" s="22" t="s">
        <v>889</v>
      </c>
      <c r="E7" s="24" t="s">
        <v>87</v>
      </c>
    </row>
    <row r="8" customFormat="false" ht="18" hidden="false" customHeight="true" outlineLevel="0" collapsed="false">
      <c r="A8" s="29" t="s">
        <v>881</v>
      </c>
      <c r="B8" s="27" t="s">
        <v>890</v>
      </c>
      <c r="C8" s="27" t="s">
        <v>888</v>
      </c>
      <c r="D8" s="27" t="s">
        <v>891</v>
      </c>
      <c r="E8" s="29" t="s">
        <v>87</v>
      </c>
    </row>
    <row r="9" customFormat="false" ht="18" hidden="false" customHeight="true" outlineLevel="0" collapsed="false">
      <c r="A9" s="24" t="s">
        <v>892</v>
      </c>
      <c r="B9" s="22" t="s">
        <v>893</v>
      </c>
      <c r="C9" s="22" t="s">
        <v>888</v>
      </c>
      <c r="D9" s="22" t="s">
        <v>894</v>
      </c>
      <c r="E9" s="24" t="s">
        <v>87</v>
      </c>
    </row>
    <row r="10" customFormat="false" ht="18" hidden="false" customHeight="true" outlineLevel="0" collapsed="false">
      <c r="A10" s="29" t="s">
        <v>895</v>
      </c>
      <c r="B10" s="27" t="s">
        <v>896</v>
      </c>
      <c r="C10" s="27" t="s">
        <v>897</v>
      </c>
      <c r="D10" s="27" t="s">
        <v>898</v>
      </c>
      <c r="E10" s="29" t="s">
        <v>87</v>
      </c>
    </row>
    <row r="11" customFormat="false" ht="18" hidden="false" customHeight="true" outlineLevel="0" collapsed="false">
      <c r="A11" s="24" t="s">
        <v>881</v>
      </c>
      <c r="B11" s="22" t="s">
        <v>899</v>
      </c>
      <c r="C11" s="22" t="s">
        <v>900</v>
      </c>
      <c r="D11" s="22" t="s">
        <v>901</v>
      </c>
      <c r="E11" s="24" t="s">
        <v>87</v>
      </c>
    </row>
    <row r="12" customFormat="false" ht="18" hidden="false" customHeight="true" outlineLevel="0" collapsed="false">
      <c r="A12" s="29" t="s">
        <v>892</v>
      </c>
      <c r="B12" s="27" t="s">
        <v>902</v>
      </c>
      <c r="C12" s="27" t="s">
        <v>903</v>
      </c>
      <c r="D12" s="27" t="s">
        <v>904</v>
      </c>
      <c r="E12" s="29" t="s">
        <v>87</v>
      </c>
    </row>
    <row r="13" customFormat="false" ht="18" hidden="false" customHeight="true" outlineLevel="0" collapsed="false">
      <c r="A13" s="24" t="s">
        <v>881</v>
      </c>
      <c r="B13" s="22" t="s">
        <v>905</v>
      </c>
      <c r="C13" s="22" t="s">
        <v>900</v>
      </c>
      <c r="D13" s="22" t="s">
        <v>906</v>
      </c>
      <c r="E13" s="24" t="s">
        <v>87</v>
      </c>
    </row>
    <row r="14" customFormat="false" ht="18" hidden="false" customHeight="true" outlineLevel="0" collapsed="false">
      <c r="A14" s="29" t="s">
        <v>892</v>
      </c>
      <c r="B14" s="27" t="s">
        <v>907</v>
      </c>
      <c r="C14" s="27" t="s">
        <v>908</v>
      </c>
      <c r="D14" s="27" t="s">
        <v>909</v>
      </c>
      <c r="E14" s="29" t="s">
        <v>87</v>
      </c>
    </row>
    <row r="15" customFormat="false" ht="18" hidden="false" customHeight="true" outlineLevel="0" collapsed="false">
      <c r="A15" s="24" t="s">
        <v>892</v>
      </c>
      <c r="B15" s="22" t="s">
        <v>910</v>
      </c>
      <c r="C15" s="22" t="s">
        <v>908</v>
      </c>
      <c r="D15" s="22" t="s">
        <v>911</v>
      </c>
      <c r="E15" s="24" t="s">
        <v>87</v>
      </c>
    </row>
    <row r="16" customFormat="false" ht="18" hidden="false" customHeight="true" outlineLevel="0" collapsed="false">
      <c r="A16" s="29" t="s">
        <v>912</v>
      </c>
      <c r="B16" s="27" t="s">
        <v>913</v>
      </c>
      <c r="C16" s="27" t="s">
        <v>914</v>
      </c>
      <c r="D16" s="27" t="s">
        <v>915</v>
      </c>
      <c r="E16" s="29" t="s">
        <v>87</v>
      </c>
    </row>
    <row r="17" customFormat="false" ht="18" hidden="false" customHeight="true" outlineLevel="0" collapsed="false">
      <c r="A17" s="24" t="s">
        <v>912</v>
      </c>
      <c r="B17" s="22" t="s">
        <v>916</v>
      </c>
      <c r="C17" s="22" t="s">
        <v>914</v>
      </c>
      <c r="D17" s="22" t="s">
        <v>917</v>
      </c>
      <c r="E17" s="24" t="s">
        <v>92</v>
      </c>
    </row>
    <row r="18" customFormat="false" ht="18" hidden="false" customHeight="true" outlineLevel="0" collapsed="false">
      <c r="A18" s="29" t="s">
        <v>918</v>
      </c>
      <c r="B18" s="27" t="s">
        <v>919</v>
      </c>
      <c r="C18" s="27" t="s">
        <v>920</v>
      </c>
      <c r="D18" s="27" t="s">
        <v>921</v>
      </c>
      <c r="E18" s="29" t="s">
        <v>87</v>
      </c>
    </row>
    <row r="19" customFormat="false" ht="18" hidden="false" customHeight="true" outlineLevel="0" collapsed="false">
      <c r="A19" s="24" t="s">
        <v>892</v>
      </c>
      <c r="B19" s="22" t="s">
        <v>922</v>
      </c>
      <c r="C19" s="22" t="s">
        <v>914</v>
      </c>
      <c r="D19" s="22" t="s">
        <v>923</v>
      </c>
      <c r="E19" s="24" t="s">
        <v>97</v>
      </c>
    </row>
    <row r="20" customFormat="false" ht="18" hidden="false" customHeight="true" outlineLevel="0" collapsed="false">
      <c r="A20" s="29" t="s">
        <v>881</v>
      </c>
      <c r="B20" s="27" t="s">
        <v>924</v>
      </c>
      <c r="C20" s="27" t="s">
        <v>914</v>
      </c>
      <c r="D20" s="27" t="s">
        <v>925</v>
      </c>
      <c r="E20" s="29" t="s">
        <v>97</v>
      </c>
    </row>
    <row r="21" customFormat="false" ht="18" hidden="false" customHeight="true" outlineLevel="0" collapsed="false">
      <c r="A21" s="24" t="s">
        <v>881</v>
      </c>
      <c r="B21" s="22" t="s">
        <v>926</v>
      </c>
      <c r="C21" s="22" t="s">
        <v>914</v>
      </c>
      <c r="D21" s="22" t="s">
        <v>927</v>
      </c>
      <c r="E21" s="24" t="s">
        <v>97</v>
      </c>
    </row>
    <row r="22" customFormat="false" ht="18" hidden="false" customHeight="true" outlineLevel="0" collapsed="false">
      <c r="A22" s="29" t="s">
        <v>892</v>
      </c>
      <c r="B22" s="27" t="s">
        <v>928</v>
      </c>
      <c r="C22" s="27" t="s">
        <v>929</v>
      </c>
      <c r="D22" s="27" t="s">
        <v>930</v>
      </c>
      <c r="E22" s="29" t="s">
        <v>97</v>
      </c>
    </row>
    <row r="23" customFormat="false" ht="18" hidden="false" customHeight="true" outlineLevel="0" collapsed="false">
      <c r="A23" s="24" t="s">
        <v>912</v>
      </c>
      <c r="B23" s="22" t="s">
        <v>931</v>
      </c>
      <c r="C23" s="22" t="s">
        <v>929</v>
      </c>
      <c r="D23" s="22" t="s">
        <v>932</v>
      </c>
      <c r="E23" s="24" t="s">
        <v>97</v>
      </c>
    </row>
    <row r="24" customFormat="false" ht="18" hidden="false" customHeight="true" outlineLevel="0" collapsed="false">
      <c r="A24" s="29" t="s">
        <v>892</v>
      </c>
      <c r="B24" s="27" t="s">
        <v>933</v>
      </c>
      <c r="C24" s="27" t="s">
        <v>920</v>
      </c>
      <c r="D24" s="27" t="s">
        <v>934</v>
      </c>
      <c r="E24" s="29" t="s">
        <v>97</v>
      </c>
    </row>
    <row r="25" customFormat="false" ht="18" hidden="false" customHeight="true" outlineLevel="0" collapsed="false">
      <c r="A25" s="24" t="s">
        <v>881</v>
      </c>
      <c r="B25" s="22" t="s">
        <v>935</v>
      </c>
      <c r="C25" s="22" t="s">
        <v>914</v>
      </c>
      <c r="D25" s="22" t="s">
        <v>936</v>
      </c>
      <c r="E25" s="24" t="s">
        <v>92</v>
      </c>
    </row>
    <row r="26" customFormat="false" ht="18" hidden="false" customHeight="true" outlineLevel="0" collapsed="false">
      <c r="A26" s="29" t="s">
        <v>881</v>
      </c>
      <c r="B26" s="27" t="s">
        <v>937</v>
      </c>
      <c r="C26" s="27" t="s">
        <v>914</v>
      </c>
      <c r="D26" s="27" t="s">
        <v>938</v>
      </c>
      <c r="E26" s="29" t="s">
        <v>102</v>
      </c>
    </row>
    <row r="27" customFormat="false" ht="18" hidden="false" customHeight="true" outlineLevel="0" collapsed="false">
      <c r="A27" s="24" t="s">
        <v>939</v>
      </c>
      <c r="B27" s="22" t="s">
        <v>940</v>
      </c>
      <c r="C27" s="22" t="s">
        <v>908</v>
      </c>
      <c r="D27" s="22" t="s">
        <v>941</v>
      </c>
      <c r="E27" s="24" t="s">
        <v>102</v>
      </c>
    </row>
    <row r="28" customFormat="false" ht="18" hidden="false" customHeight="true" outlineLevel="0" collapsed="false">
      <c r="A28" s="29" t="s">
        <v>892</v>
      </c>
      <c r="B28" s="27" t="s">
        <v>942</v>
      </c>
      <c r="C28" s="27" t="s">
        <v>920</v>
      </c>
      <c r="D28" s="27" t="s">
        <v>943</v>
      </c>
      <c r="E28" s="29" t="s">
        <v>102</v>
      </c>
    </row>
    <row r="29" customFormat="false" ht="18" hidden="false" customHeight="true" outlineLevel="0" collapsed="false">
      <c r="A29" s="24" t="s">
        <v>944</v>
      </c>
      <c r="B29" s="22" t="s">
        <v>945</v>
      </c>
      <c r="C29" s="22" t="s">
        <v>946</v>
      </c>
      <c r="D29" s="22" t="s">
        <v>389</v>
      </c>
      <c r="E29" s="24" t="s">
        <v>102</v>
      </c>
    </row>
    <row r="30" customFormat="false" ht="18" hidden="false" customHeight="true" outlineLevel="0" collapsed="false">
      <c r="A30" s="29" t="s">
        <v>892</v>
      </c>
      <c r="B30" s="27" t="s">
        <v>947</v>
      </c>
      <c r="C30" s="27" t="s">
        <v>948</v>
      </c>
      <c r="D30" s="27" t="s">
        <v>949</v>
      </c>
      <c r="E30" s="29" t="s">
        <v>107</v>
      </c>
    </row>
  </sheetData>
  <autoFilter ref="A4:E30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38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8"/>
  </cols>
  <sheetData>
    <row r="1" customFormat="false" ht="30" hidden="false" customHeight="true" outlineLevel="0" collapsed="false">
      <c r="A1" s="1" t="s">
        <v>950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951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20" t="s">
        <v>138</v>
      </c>
      <c r="B4" s="20" t="s">
        <v>952</v>
      </c>
      <c r="C4" s="20" t="s">
        <v>953</v>
      </c>
      <c r="D4" s="20" t="s">
        <v>954</v>
      </c>
      <c r="E4" s="20" t="s">
        <v>7</v>
      </c>
      <c r="F4" s="20" t="s">
        <v>955</v>
      </c>
      <c r="G4" s="20" t="s">
        <v>956</v>
      </c>
      <c r="H4" s="20" t="s">
        <v>823</v>
      </c>
      <c r="I4" s="20" t="s">
        <v>70</v>
      </c>
    </row>
    <row r="5" customFormat="false" ht="30" hidden="false" customHeight="true" outlineLevel="0" collapsed="false">
      <c r="A5" s="24" t="s">
        <v>957</v>
      </c>
      <c r="B5" s="22" t="s">
        <v>269</v>
      </c>
      <c r="C5" s="22" t="s">
        <v>958</v>
      </c>
      <c r="D5" s="22" t="s">
        <v>959</v>
      </c>
      <c r="E5" s="22" t="s">
        <v>960</v>
      </c>
      <c r="F5" s="22" t="s">
        <v>961</v>
      </c>
      <c r="G5" s="22" t="s">
        <v>962</v>
      </c>
      <c r="H5" s="22" t="s">
        <v>963</v>
      </c>
      <c r="I5" s="24" t="s">
        <v>92</v>
      </c>
    </row>
    <row r="6" customFormat="false" ht="42.75" hidden="false" customHeight="true" outlineLevel="0" collapsed="false">
      <c r="A6" s="29" t="s">
        <v>964</v>
      </c>
      <c r="B6" s="27" t="s">
        <v>273</v>
      </c>
      <c r="C6" s="27" t="s">
        <v>965</v>
      </c>
      <c r="D6" s="27" t="s">
        <v>966</v>
      </c>
      <c r="E6" s="27" t="s">
        <v>967</v>
      </c>
      <c r="F6" s="27" t="s">
        <v>968</v>
      </c>
      <c r="G6" s="27" t="s">
        <v>969</v>
      </c>
      <c r="H6" s="27" t="s">
        <v>970</v>
      </c>
      <c r="I6" s="29" t="s">
        <v>92</v>
      </c>
    </row>
    <row r="7" customFormat="false" ht="30" hidden="false" customHeight="true" outlineLevel="0" collapsed="false">
      <c r="A7" s="24" t="s">
        <v>971</v>
      </c>
      <c r="B7" s="22" t="s">
        <v>972</v>
      </c>
      <c r="C7" s="22" t="s">
        <v>958</v>
      </c>
      <c r="D7" s="22" t="s">
        <v>973</v>
      </c>
      <c r="E7" s="22" t="s">
        <v>974</v>
      </c>
      <c r="F7" s="22" t="s">
        <v>975</v>
      </c>
      <c r="G7" s="22" t="s">
        <v>976</v>
      </c>
      <c r="H7" s="22" t="s">
        <v>977</v>
      </c>
      <c r="I7" s="24" t="s">
        <v>92</v>
      </c>
    </row>
    <row r="8" customFormat="false" ht="30" hidden="false" customHeight="true" outlineLevel="0" collapsed="false">
      <c r="A8" s="29" t="s">
        <v>978</v>
      </c>
      <c r="B8" s="27" t="s">
        <v>979</v>
      </c>
      <c r="C8" s="27" t="s">
        <v>980</v>
      </c>
      <c r="D8" s="27" t="s">
        <v>981</v>
      </c>
      <c r="E8" s="27" t="s">
        <v>982</v>
      </c>
      <c r="F8" s="27" t="s">
        <v>983</v>
      </c>
      <c r="G8" s="27" t="s">
        <v>984</v>
      </c>
      <c r="H8" s="27" t="s">
        <v>985</v>
      </c>
      <c r="I8" s="29" t="s">
        <v>97</v>
      </c>
    </row>
    <row r="9" customFormat="false" ht="30" hidden="false" customHeight="true" outlineLevel="0" collapsed="false">
      <c r="A9" s="24" t="s">
        <v>986</v>
      </c>
      <c r="B9" s="22" t="s">
        <v>987</v>
      </c>
      <c r="C9" s="22" t="s">
        <v>988</v>
      </c>
      <c r="D9" s="22" t="s">
        <v>989</v>
      </c>
      <c r="E9" s="22" t="s">
        <v>990</v>
      </c>
      <c r="F9" s="22" t="s">
        <v>991</v>
      </c>
      <c r="G9" s="22" t="s">
        <v>992</v>
      </c>
      <c r="H9" s="22" t="s">
        <v>993</v>
      </c>
      <c r="I9" s="24" t="s">
        <v>102</v>
      </c>
    </row>
    <row r="10" customFormat="false" ht="30" hidden="false" customHeight="true" outlineLevel="0" collapsed="false">
      <c r="A10" s="29" t="s">
        <v>994</v>
      </c>
      <c r="B10" s="27" t="s">
        <v>995</v>
      </c>
      <c r="C10" s="27" t="s">
        <v>996</v>
      </c>
      <c r="D10" s="27" t="s">
        <v>997</v>
      </c>
      <c r="E10" s="27" t="s">
        <v>998</v>
      </c>
      <c r="F10" s="27" t="s">
        <v>999</v>
      </c>
      <c r="G10" s="27" t="s">
        <v>1000</v>
      </c>
      <c r="H10" s="27" t="s">
        <v>1001</v>
      </c>
      <c r="I10" s="29" t="s">
        <v>1002</v>
      </c>
    </row>
    <row r="12" customFormat="false" ht="15" hidden="false" customHeight="false" outlineLevel="0" collapsed="false">
      <c r="A12" s="17" t="s">
        <v>1003</v>
      </c>
    </row>
  </sheetData>
  <autoFilter ref="A4:I10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L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  <col collapsed="false" customWidth="true" hidden="false" outlineLevel="0" max="12" min="8" style="0" width="12"/>
  </cols>
  <sheetData>
    <row r="1" customFormat="false" ht="30" hidden="false" customHeight="true" outlineLevel="0" collapsed="false">
      <c r="A1" s="1" t="s">
        <v>1004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1005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56" t="s">
        <v>1006</v>
      </c>
      <c r="D4" s="56" t="s">
        <v>1007</v>
      </c>
    </row>
    <row r="5" customFormat="false" ht="30" hidden="false" customHeight="true" outlineLevel="0" collapsed="false">
      <c r="A5" s="20" t="s">
        <v>1008</v>
      </c>
      <c r="B5" s="20" t="s">
        <v>1009</v>
      </c>
      <c r="D5" s="57" t="s">
        <v>1010</v>
      </c>
      <c r="E5" s="57" t="s">
        <v>1011</v>
      </c>
      <c r="G5" s="7" t="s">
        <v>1012</v>
      </c>
      <c r="H5" s="58" t="n">
        <v>10</v>
      </c>
    </row>
    <row r="6" customFormat="false" ht="15" hidden="false" customHeight="false" outlineLevel="0" collapsed="false">
      <c r="A6" s="59" t="s">
        <v>1013</v>
      </c>
      <c r="B6" s="58" t="n">
        <v>35</v>
      </c>
      <c r="D6" s="59" t="s">
        <v>1014</v>
      </c>
      <c r="E6" s="58" t="n">
        <v>0.25</v>
      </c>
      <c r="G6" s="7" t="s">
        <v>1015</v>
      </c>
      <c r="H6" s="58" t="n">
        <v>60</v>
      </c>
    </row>
    <row r="7" customFormat="false" ht="15" hidden="false" customHeight="true" outlineLevel="0" collapsed="false">
      <c r="A7" s="59" t="s">
        <v>1016</v>
      </c>
      <c r="B7" s="58" t="n">
        <v>20</v>
      </c>
      <c r="D7" s="59" t="s">
        <v>1017</v>
      </c>
      <c r="E7" s="58" t="n">
        <v>0.5</v>
      </c>
      <c r="G7" s="60" t="s">
        <v>1018</v>
      </c>
      <c r="H7" s="60"/>
      <c r="I7" s="60"/>
      <c r="J7" s="60"/>
      <c r="K7" s="60"/>
      <c r="L7" s="60"/>
    </row>
    <row r="8" customFormat="false" ht="15" hidden="false" customHeight="false" outlineLevel="0" collapsed="false">
      <c r="A8" s="59" t="s">
        <v>1019</v>
      </c>
      <c r="B8" s="58" t="n">
        <v>20</v>
      </c>
      <c r="D8" s="59" t="s">
        <v>1020</v>
      </c>
      <c r="E8" s="58" t="n">
        <v>0.75</v>
      </c>
      <c r="G8" s="60"/>
      <c r="H8" s="60"/>
      <c r="I8" s="60"/>
      <c r="J8" s="60"/>
      <c r="K8" s="60"/>
      <c r="L8" s="60"/>
    </row>
    <row r="9" customFormat="false" ht="15" hidden="false" customHeight="false" outlineLevel="0" collapsed="false">
      <c r="A9" s="59" t="s">
        <v>1021</v>
      </c>
      <c r="B9" s="58" t="n">
        <v>10</v>
      </c>
      <c r="D9" s="59" t="s">
        <v>1022</v>
      </c>
      <c r="E9" s="58" t="n">
        <v>1</v>
      </c>
      <c r="G9" s="60"/>
      <c r="H9" s="60"/>
      <c r="I9" s="60"/>
      <c r="J9" s="60"/>
      <c r="K9" s="60"/>
      <c r="L9" s="60"/>
    </row>
    <row r="10" customFormat="false" ht="15" hidden="false" customHeight="false" outlineLevel="0" collapsed="false">
      <c r="A10" s="59" t="s">
        <v>1023</v>
      </c>
      <c r="B10" s="58" t="n">
        <v>5</v>
      </c>
      <c r="G10" s="60"/>
      <c r="H10" s="60"/>
      <c r="I10" s="60"/>
      <c r="J10" s="60"/>
      <c r="K10" s="60"/>
      <c r="L10" s="60"/>
    </row>
    <row r="11" customFormat="false" ht="15" hidden="false" customHeight="false" outlineLevel="0" collapsed="false">
      <c r="A11" s="59" t="s">
        <v>1024</v>
      </c>
      <c r="B11" s="58" t="n">
        <v>10</v>
      </c>
    </row>
    <row r="12" customFormat="false" ht="15" hidden="false" customHeight="false" outlineLevel="0" collapsed="false">
      <c r="A12" s="7" t="s">
        <v>1025</v>
      </c>
      <c r="B12" s="35" t="n">
        <f aca="false">SUM(B6:B11)</f>
        <v>100</v>
      </c>
      <c r="C12" s="61" t="str">
        <f aca="false">IF(B12=100,"OK","Weights must total 100")</f>
        <v>OK</v>
      </c>
    </row>
    <row r="14" customFormat="false" ht="15" hidden="false" customHeight="false" outlineLevel="0" collapsed="false">
      <c r="A14" s="56" t="s">
        <v>1026</v>
      </c>
    </row>
    <row r="15" customFormat="false" ht="30" hidden="false" customHeight="true" outlineLevel="0" collapsed="false">
      <c r="A15" s="20" t="s">
        <v>1027</v>
      </c>
      <c r="B15" s="20" t="s">
        <v>1013</v>
      </c>
      <c r="C15" s="20" t="s">
        <v>1028</v>
      </c>
      <c r="D15" s="20" t="s">
        <v>1029</v>
      </c>
      <c r="E15" s="20" t="s">
        <v>1030</v>
      </c>
      <c r="F15" s="20" t="s">
        <v>1031</v>
      </c>
      <c r="G15" s="20" t="s">
        <v>1032</v>
      </c>
      <c r="H15" s="20" t="s">
        <v>1033</v>
      </c>
      <c r="I15" s="20" t="s">
        <v>1034</v>
      </c>
      <c r="J15" s="20" t="s">
        <v>1035</v>
      </c>
      <c r="K15" s="20" t="s">
        <v>1036</v>
      </c>
      <c r="L15" s="20" t="s">
        <v>1037</v>
      </c>
    </row>
    <row r="16" customFormat="false" ht="30" hidden="false" customHeight="true" outlineLevel="0" collapsed="false">
      <c r="A16" s="62" t="s">
        <v>1038</v>
      </c>
      <c r="B16" s="63" t="s">
        <v>1017</v>
      </c>
      <c r="C16" s="63" t="n">
        <v>0</v>
      </c>
      <c r="D16" s="63" t="n">
        <v>0</v>
      </c>
      <c r="E16" s="63" t="n">
        <v>0.3</v>
      </c>
      <c r="F16" s="63" t="n">
        <v>0.4</v>
      </c>
      <c r="G16" s="63" t="n">
        <v>25</v>
      </c>
      <c r="H16" s="64" t="n">
        <f aca="false">INDEX($E$6:$E$9,MATCH(B16,$D$6:$D$9,0))</f>
        <v>0.5</v>
      </c>
      <c r="I16" s="64" t="n">
        <f aca="false">MIN(C16/$H$5,1)</f>
        <v>0</v>
      </c>
      <c r="J16" s="64" t="n">
        <f aca="false">MIN(G16/$H$6,1)</f>
        <v>0.416666666666667</v>
      </c>
      <c r="K16" s="65" t="n">
        <f aca="false">$B$6*H16+$B$7*I16+$B$8*D16+$B$9*E16+$B$10*F16+$B$11*J16</f>
        <v>26.6666666666667</v>
      </c>
      <c r="L16" s="10" t="n">
        <f aca="false">RANK(K16,$K$16:$K$20)</f>
        <v>4</v>
      </c>
    </row>
    <row r="17" customFormat="false" ht="30" hidden="false" customHeight="true" outlineLevel="0" collapsed="false">
      <c r="A17" s="62" t="s">
        <v>1039</v>
      </c>
      <c r="B17" s="63" t="s">
        <v>1022</v>
      </c>
      <c r="C17" s="63" t="n">
        <v>6</v>
      </c>
      <c r="D17" s="63" t="n">
        <v>1</v>
      </c>
      <c r="E17" s="63" t="n">
        <v>0.9</v>
      </c>
      <c r="F17" s="63" t="n">
        <v>0.8</v>
      </c>
      <c r="G17" s="63" t="n">
        <v>15</v>
      </c>
      <c r="H17" s="64" t="n">
        <f aca="false">INDEX($E$6:$E$9,MATCH(B17,$D$6:$D$9,0))</f>
        <v>1</v>
      </c>
      <c r="I17" s="64" t="n">
        <f aca="false">MIN(C17/$H$5,1)</f>
        <v>0.6</v>
      </c>
      <c r="J17" s="64" t="n">
        <f aca="false">MIN(G17/$H$6,1)</f>
        <v>0.25</v>
      </c>
      <c r="K17" s="65" t="n">
        <f aca="false">$B$6*H17+$B$7*I17+$B$8*D17+$B$9*E17+$B$10*F17+$B$11*J17</f>
        <v>82.5</v>
      </c>
      <c r="L17" s="10" t="n">
        <f aca="false">RANK(K17,$K$16:$K$20)</f>
        <v>2</v>
      </c>
    </row>
    <row r="18" customFormat="false" ht="30" hidden="false" customHeight="true" outlineLevel="0" collapsed="false">
      <c r="A18" s="62" t="s">
        <v>1040</v>
      </c>
      <c r="B18" s="63" t="s">
        <v>1022</v>
      </c>
      <c r="C18" s="63" t="n">
        <v>20</v>
      </c>
      <c r="D18" s="63" t="n">
        <v>1</v>
      </c>
      <c r="E18" s="63" t="n">
        <v>1</v>
      </c>
      <c r="F18" s="63" t="n">
        <v>0.6</v>
      </c>
      <c r="G18" s="63" t="n">
        <v>10</v>
      </c>
      <c r="H18" s="64" t="n">
        <f aca="false">INDEX($E$6:$E$9,MATCH(B18,$D$6:$D$9,0))</f>
        <v>1</v>
      </c>
      <c r="I18" s="64" t="n">
        <f aca="false">MIN(C18/$H$5,1)</f>
        <v>1</v>
      </c>
      <c r="J18" s="64" t="n">
        <f aca="false">MIN(G18/$H$6,1)</f>
        <v>0.166666666666667</v>
      </c>
      <c r="K18" s="65" t="n">
        <f aca="false">$B$6*H18+$B$7*I18+$B$8*D18+$B$9*E18+$B$10*F18+$B$11*J18</f>
        <v>89.6666666666667</v>
      </c>
      <c r="L18" s="10" t="n">
        <f aca="false">RANK(K18,$K$16:$K$20)</f>
        <v>1</v>
      </c>
    </row>
    <row r="19" customFormat="false" ht="30" hidden="false" customHeight="true" outlineLevel="0" collapsed="false">
      <c r="A19" s="62" t="s">
        <v>1041</v>
      </c>
      <c r="B19" s="63" t="s">
        <v>1014</v>
      </c>
      <c r="C19" s="63" t="n">
        <v>0</v>
      </c>
      <c r="D19" s="63" t="n">
        <v>0</v>
      </c>
      <c r="E19" s="63" t="n">
        <v>0.1</v>
      </c>
      <c r="F19" s="63" t="n">
        <v>0.2</v>
      </c>
      <c r="G19" s="63" t="n">
        <v>40</v>
      </c>
      <c r="H19" s="64" t="n">
        <f aca="false">INDEX($E$6:$E$9,MATCH(B19,$D$6:$D$9,0))</f>
        <v>0.25</v>
      </c>
      <c r="I19" s="64" t="n">
        <f aca="false">MIN(C19/$H$5,1)</f>
        <v>0</v>
      </c>
      <c r="J19" s="64" t="n">
        <f aca="false">MIN(G19/$H$6,1)</f>
        <v>0.666666666666667</v>
      </c>
      <c r="K19" s="65" t="n">
        <f aca="false">$B$6*H19+$B$7*I19+$B$8*D19+$B$9*E19+$B$10*F19+$B$11*J19</f>
        <v>17.4166666666667</v>
      </c>
      <c r="L19" s="10" t="n">
        <f aca="false">RANK(K19,$K$16:$K$20)</f>
        <v>5</v>
      </c>
    </row>
    <row r="20" customFormat="false" ht="30" hidden="false" customHeight="true" outlineLevel="0" collapsed="false">
      <c r="A20" s="62" t="s">
        <v>1042</v>
      </c>
      <c r="B20" s="63" t="s">
        <v>1020</v>
      </c>
      <c r="C20" s="63" t="n">
        <v>3</v>
      </c>
      <c r="D20" s="63" t="n">
        <v>0.5</v>
      </c>
      <c r="E20" s="63" t="n">
        <v>0.7</v>
      </c>
      <c r="F20" s="63" t="n">
        <v>0.9</v>
      </c>
      <c r="G20" s="63" t="n">
        <v>30</v>
      </c>
      <c r="H20" s="64" t="n">
        <f aca="false">INDEX($E$6:$E$9,MATCH(B20,$D$6:$D$9,0))</f>
        <v>0.75</v>
      </c>
      <c r="I20" s="64" t="n">
        <f aca="false">MIN(C20/$H$5,1)</f>
        <v>0.3</v>
      </c>
      <c r="J20" s="64" t="n">
        <f aca="false">MIN(G20/$H$6,1)</f>
        <v>0.5</v>
      </c>
      <c r="K20" s="65" t="n">
        <f aca="false">$B$6*H20+$B$7*I20+$B$8*D20+$B$9*E20+$B$10*F20+$B$11*J20</f>
        <v>58.75</v>
      </c>
      <c r="L20" s="10" t="n">
        <f aca="false">RANK(K20,$K$16:$K$20)</f>
        <v>3</v>
      </c>
    </row>
    <row r="22" customFormat="false" ht="15" hidden="false" customHeight="false" outlineLevel="0" collapsed="false">
      <c r="A22" s="17" t="s">
        <v>1043</v>
      </c>
    </row>
  </sheetData>
  <mergeCells count="3">
    <mergeCell ref="A1:L1"/>
    <mergeCell ref="A2:L2"/>
    <mergeCell ref="G7:L10"/>
  </mergeCells>
  <conditionalFormatting sqref="K16:K20">
    <cfRule type="dataBar" priority="2">
      <dataBar showValue="1" minLength="10" maxLength="90">
        <cfvo type="num" val="0"/>
        <cfvo type="num" val="100"/>
        <color rgb="FFF4B183"/>
      </dataBar>
      <extLst>
        <ext xmlns:x14="http://schemas.microsoft.com/office/spreadsheetml/2009/9/main" uri="{B025F937-C7B1-47D3-B67F-A62EFF666E3E}">
          <x14:id>{427AAA3B-F925-4BEA-B970-6E219EC1222A}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AAA3B-F925-4BEA-B970-6E219EC1222A}">
            <x14:dataBar minLength="10" maxLength="90" axisPosition="none" gradient="true">
              <x14:cfvo type="num">
                <xm:f>0</xm:f>
              </x14:cfvo>
              <x14:cfvo type="num">
                <xm:f>100</xm:f>
              </x14:cfvo>
              <x14:negativeFillColor rgb="FFF4B183"/>
              <x14:axisColor rgb="FF000000"/>
            </x14:dataBar>
          </x14:cfRule>
          <xm:sqref>K16:K20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32"/>
    <col collapsed="false" customWidth="true" hidden="false" outlineLevel="0" max="5" min="5" style="0" width="56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 t="s">
        <v>1044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1045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20" t="s">
        <v>138</v>
      </c>
      <c r="B4" s="20" t="s">
        <v>711</v>
      </c>
      <c r="C4" s="20" t="s">
        <v>1046</v>
      </c>
      <c r="D4" s="20" t="s">
        <v>1047</v>
      </c>
      <c r="E4" s="20" t="s">
        <v>1048</v>
      </c>
      <c r="F4" s="20" t="s">
        <v>70</v>
      </c>
    </row>
    <row r="5" customFormat="false" ht="30" hidden="false" customHeight="true" outlineLevel="0" collapsed="false">
      <c r="A5" s="24" t="s">
        <v>1049</v>
      </c>
      <c r="B5" s="22" t="s">
        <v>1050</v>
      </c>
      <c r="C5" s="22" t="s">
        <v>1051</v>
      </c>
      <c r="D5" s="22" t="s">
        <v>1052</v>
      </c>
      <c r="E5" s="22" t="s">
        <v>1053</v>
      </c>
      <c r="F5" s="24" t="s">
        <v>1054</v>
      </c>
    </row>
    <row r="6" customFormat="false" ht="30" hidden="false" customHeight="true" outlineLevel="0" collapsed="false">
      <c r="A6" s="29" t="s">
        <v>1055</v>
      </c>
      <c r="B6" s="27" t="s">
        <v>1056</v>
      </c>
      <c r="C6" s="27" t="s">
        <v>1057</v>
      </c>
      <c r="D6" s="27" t="s">
        <v>1058</v>
      </c>
      <c r="E6" s="27" t="s">
        <v>1059</v>
      </c>
      <c r="F6" s="29" t="s">
        <v>1054</v>
      </c>
    </row>
    <row r="7" customFormat="false" ht="18" hidden="false" customHeight="true" outlineLevel="0" collapsed="false">
      <c r="A7" s="24" t="s">
        <v>1060</v>
      </c>
      <c r="B7" s="22" t="s">
        <v>1061</v>
      </c>
      <c r="C7" s="22" t="s">
        <v>1062</v>
      </c>
      <c r="D7" s="22" t="s">
        <v>1063</v>
      </c>
      <c r="E7" s="22" t="s">
        <v>1064</v>
      </c>
      <c r="F7" s="24" t="s">
        <v>92</v>
      </c>
    </row>
    <row r="8" customFormat="false" ht="30" hidden="false" customHeight="true" outlineLevel="0" collapsed="false">
      <c r="A8" s="29" t="s">
        <v>1065</v>
      </c>
      <c r="B8" s="27" t="s">
        <v>1066</v>
      </c>
      <c r="C8" s="27" t="s">
        <v>1067</v>
      </c>
      <c r="D8" s="27" t="s">
        <v>1068</v>
      </c>
      <c r="E8" s="27" t="s">
        <v>1069</v>
      </c>
      <c r="F8" s="29" t="s">
        <v>1070</v>
      </c>
    </row>
    <row r="9" customFormat="false" ht="18" hidden="false" customHeight="true" outlineLevel="0" collapsed="false">
      <c r="A9" s="24" t="s">
        <v>1071</v>
      </c>
      <c r="B9" s="22" t="s">
        <v>1072</v>
      </c>
      <c r="C9" s="22" t="s">
        <v>1073</v>
      </c>
      <c r="D9" s="22" t="s">
        <v>1074</v>
      </c>
      <c r="E9" s="22" t="s">
        <v>1075</v>
      </c>
      <c r="F9" s="24" t="s">
        <v>97</v>
      </c>
    </row>
    <row r="10" customFormat="false" ht="18" hidden="false" customHeight="true" outlineLevel="0" collapsed="false">
      <c r="A10" s="29" t="s">
        <v>1076</v>
      </c>
      <c r="B10" s="27" t="s">
        <v>1077</v>
      </c>
      <c r="C10" s="27" t="s">
        <v>1078</v>
      </c>
      <c r="D10" s="27" t="s">
        <v>1079</v>
      </c>
      <c r="E10" s="27" t="s">
        <v>1080</v>
      </c>
      <c r="F10" s="29" t="s">
        <v>92</v>
      </c>
    </row>
    <row r="11" customFormat="false" ht="30" hidden="false" customHeight="true" outlineLevel="0" collapsed="false">
      <c r="A11" s="24" t="s">
        <v>1081</v>
      </c>
      <c r="B11" s="22" t="s">
        <v>1082</v>
      </c>
      <c r="C11" s="22" t="s">
        <v>1083</v>
      </c>
      <c r="D11" s="22" t="s">
        <v>1084</v>
      </c>
      <c r="E11" s="22" t="s">
        <v>1085</v>
      </c>
      <c r="F11" s="24" t="s">
        <v>1086</v>
      </c>
    </row>
    <row r="12" customFormat="false" ht="30" hidden="false" customHeight="true" outlineLevel="0" collapsed="false">
      <c r="A12" s="29" t="s">
        <v>1087</v>
      </c>
      <c r="B12" s="27" t="s">
        <v>1088</v>
      </c>
      <c r="C12" s="27" t="s">
        <v>1089</v>
      </c>
      <c r="D12" s="27" t="s">
        <v>1090</v>
      </c>
      <c r="E12" s="27" t="s">
        <v>1091</v>
      </c>
      <c r="F12" s="29" t="s">
        <v>107</v>
      </c>
    </row>
    <row r="13" customFormat="false" ht="18" hidden="false" customHeight="true" outlineLevel="0" collapsed="false">
      <c r="A13" s="24" t="s">
        <v>1092</v>
      </c>
      <c r="B13" s="22" t="s">
        <v>1093</v>
      </c>
      <c r="C13" s="22" t="s">
        <v>1094</v>
      </c>
      <c r="D13" s="22" t="s">
        <v>1095</v>
      </c>
      <c r="E13" s="22" t="s">
        <v>1096</v>
      </c>
      <c r="F13" s="24" t="s">
        <v>107</v>
      </c>
    </row>
    <row r="14" customFormat="false" ht="18" hidden="false" customHeight="true" outlineLevel="0" collapsed="false">
      <c r="A14" s="29" t="s">
        <v>1097</v>
      </c>
      <c r="B14" s="27" t="s">
        <v>1098</v>
      </c>
      <c r="C14" s="27" t="s">
        <v>1099</v>
      </c>
      <c r="D14" s="27" t="s">
        <v>1100</v>
      </c>
      <c r="E14" s="27" t="s">
        <v>1101</v>
      </c>
      <c r="F14" s="29" t="s">
        <v>107</v>
      </c>
    </row>
    <row r="15" customFormat="false" ht="30" hidden="false" customHeight="true" outlineLevel="0" collapsed="false">
      <c r="A15" s="24" t="s">
        <v>1102</v>
      </c>
      <c r="B15" s="22" t="s">
        <v>1103</v>
      </c>
      <c r="C15" s="22" t="s">
        <v>1104</v>
      </c>
      <c r="D15" s="22" t="s">
        <v>1105</v>
      </c>
      <c r="E15" s="22" t="s">
        <v>1106</v>
      </c>
      <c r="F15" s="24" t="s">
        <v>107</v>
      </c>
    </row>
    <row r="16" customFormat="false" ht="18" hidden="false" customHeight="true" outlineLevel="0" collapsed="false">
      <c r="A16" s="29" t="s">
        <v>1107</v>
      </c>
      <c r="B16" s="27" t="s">
        <v>1108</v>
      </c>
      <c r="C16" s="27" t="s">
        <v>1109</v>
      </c>
      <c r="D16" s="27" t="s">
        <v>1110</v>
      </c>
      <c r="E16" s="27" t="s">
        <v>1111</v>
      </c>
      <c r="F16" s="29" t="s">
        <v>1112</v>
      </c>
    </row>
    <row r="17" customFormat="false" ht="18" hidden="false" customHeight="true" outlineLevel="0" collapsed="false">
      <c r="A17" s="24" t="s">
        <v>1113</v>
      </c>
      <c r="B17" s="22" t="s">
        <v>1114</v>
      </c>
      <c r="C17" s="22" t="s">
        <v>1115</v>
      </c>
      <c r="D17" s="22" t="s">
        <v>1116</v>
      </c>
      <c r="E17" s="22" t="s">
        <v>1117</v>
      </c>
      <c r="F17" s="24" t="s">
        <v>107</v>
      </c>
    </row>
    <row r="18" customFormat="false" ht="18" hidden="false" customHeight="true" outlineLevel="0" collapsed="false">
      <c r="A18" s="29" t="s">
        <v>1118</v>
      </c>
      <c r="B18" s="27" t="s">
        <v>1119</v>
      </c>
      <c r="C18" s="27" t="s">
        <v>1120</v>
      </c>
      <c r="D18" s="27" t="s">
        <v>1121</v>
      </c>
      <c r="E18" s="27" t="s">
        <v>1122</v>
      </c>
      <c r="F18" s="29" t="s">
        <v>1123</v>
      </c>
    </row>
    <row r="19" customFormat="false" ht="30" hidden="false" customHeight="true" outlineLevel="0" collapsed="false">
      <c r="A19" s="24" t="s">
        <v>1124</v>
      </c>
      <c r="B19" s="22" t="s">
        <v>1125</v>
      </c>
      <c r="C19" s="22" t="s">
        <v>1126</v>
      </c>
      <c r="D19" s="22" t="s">
        <v>1127</v>
      </c>
      <c r="E19" s="22" t="s">
        <v>1128</v>
      </c>
      <c r="F19" s="24" t="s">
        <v>112</v>
      </c>
    </row>
  </sheetData>
  <autoFilter ref="A4:F19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62"/>
    <col collapsed="false" customWidth="true" hidden="false" outlineLevel="0" max="8" min="8" style="0" width="36"/>
  </cols>
  <sheetData>
    <row r="1" customFormat="false" ht="30" hidden="false" customHeight="true" outlineLevel="0" collapsed="false">
      <c r="A1" s="1" t="s">
        <v>1129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1130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20" t="s">
        <v>138</v>
      </c>
      <c r="B4" s="20" t="s">
        <v>1131</v>
      </c>
      <c r="C4" s="20" t="s">
        <v>1132</v>
      </c>
      <c r="D4" s="20" t="s">
        <v>1133</v>
      </c>
      <c r="E4" s="20" t="s">
        <v>1134</v>
      </c>
      <c r="F4" s="20" t="s">
        <v>1135</v>
      </c>
      <c r="G4" s="20" t="s">
        <v>1136</v>
      </c>
      <c r="H4" s="20" t="s">
        <v>1137</v>
      </c>
    </row>
    <row r="5" customFormat="false" ht="30" hidden="false" customHeight="true" outlineLevel="0" collapsed="false">
      <c r="A5" s="24" t="s">
        <v>1138</v>
      </c>
      <c r="B5" s="22" t="s">
        <v>1139</v>
      </c>
      <c r="C5" s="39" t="n">
        <v>4</v>
      </c>
      <c r="D5" s="39" t="n">
        <v>5</v>
      </c>
      <c r="E5" s="24" t="n">
        <f aca="false">C5*D5</f>
        <v>20</v>
      </c>
      <c r="F5" s="66" t="str">
        <f aca="false">IF(E5&gt;=15,"High",IF(E5&gt;=8,"Medium","Low"))</f>
        <v>High</v>
      </c>
      <c r="G5" s="22" t="s">
        <v>1140</v>
      </c>
      <c r="H5" s="22" t="s">
        <v>1141</v>
      </c>
    </row>
    <row r="6" customFormat="false" ht="30" hidden="false" customHeight="true" outlineLevel="0" collapsed="false">
      <c r="A6" s="29" t="s">
        <v>1142</v>
      </c>
      <c r="B6" s="27" t="s">
        <v>1143</v>
      </c>
      <c r="C6" s="43" t="n">
        <v>4</v>
      </c>
      <c r="D6" s="43" t="n">
        <v>4</v>
      </c>
      <c r="E6" s="29" t="n">
        <f aca="false">C6*D6</f>
        <v>16</v>
      </c>
      <c r="F6" s="67" t="str">
        <f aca="false">IF(E6&gt;=15,"High",IF(E6&gt;=8,"Medium","Low"))</f>
        <v>High</v>
      </c>
      <c r="G6" s="27" t="s">
        <v>1144</v>
      </c>
      <c r="H6" s="27" t="s">
        <v>1145</v>
      </c>
    </row>
    <row r="7" customFormat="false" ht="30" hidden="false" customHeight="true" outlineLevel="0" collapsed="false">
      <c r="A7" s="24" t="s">
        <v>1146</v>
      </c>
      <c r="B7" s="22" t="s">
        <v>1147</v>
      </c>
      <c r="C7" s="39" t="n">
        <v>3</v>
      </c>
      <c r="D7" s="39" t="n">
        <v>3</v>
      </c>
      <c r="E7" s="24" t="n">
        <f aca="false">C7*D7</f>
        <v>9</v>
      </c>
      <c r="F7" s="66" t="str">
        <f aca="false">IF(E7&gt;=15,"High",IF(E7&gt;=8,"Medium","Low"))</f>
        <v>Medium</v>
      </c>
      <c r="G7" s="22" t="s">
        <v>1148</v>
      </c>
      <c r="H7" s="22" t="s">
        <v>1149</v>
      </c>
    </row>
    <row r="8" customFormat="false" ht="30" hidden="false" customHeight="true" outlineLevel="0" collapsed="false">
      <c r="A8" s="29" t="s">
        <v>1150</v>
      </c>
      <c r="B8" s="27" t="s">
        <v>1151</v>
      </c>
      <c r="C8" s="43" t="n">
        <v>4</v>
      </c>
      <c r="D8" s="43" t="n">
        <v>3</v>
      </c>
      <c r="E8" s="29" t="n">
        <f aca="false">C8*D8</f>
        <v>12</v>
      </c>
      <c r="F8" s="67" t="str">
        <f aca="false">IF(E8&gt;=15,"High",IF(E8&gt;=8,"Medium","Low"))</f>
        <v>Medium</v>
      </c>
      <c r="G8" s="27" t="s">
        <v>1152</v>
      </c>
      <c r="H8" s="27" t="s">
        <v>1153</v>
      </c>
    </row>
    <row r="9" customFormat="false" ht="30" hidden="false" customHeight="true" outlineLevel="0" collapsed="false">
      <c r="A9" s="24" t="s">
        <v>1154</v>
      </c>
      <c r="B9" s="22" t="s">
        <v>1155</v>
      </c>
      <c r="C9" s="39" t="n">
        <v>3</v>
      </c>
      <c r="D9" s="39" t="n">
        <v>4</v>
      </c>
      <c r="E9" s="24" t="n">
        <f aca="false">C9*D9</f>
        <v>12</v>
      </c>
      <c r="F9" s="66" t="str">
        <f aca="false">IF(E9&gt;=15,"High",IF(E9&gt;=8,"Medium","Low"))</f>
        <v>Medium</v>
      </c>
      <c r="G9" s="22" t="s">
        <v>1156</v>
      </c>
      <c r="H9" s="22" t="s">
        <v>1157</v>
      </c>
    </row>
    <row r="10" customFormat="false" ht="30" hidden="false" customHeight="true" outlineLevel="0" collapsed="false">
      <c r="A10" s="29" t="s">
        <v>1158</v>
      </c>
      <c r="B10" s="27" t="s">
        <v>1159</v>
      </c>
      <c r="C10" s="43" t="n">
        <v>4</v>
      </c>
      <c r="D10" s="43" t="n">
        <v>4</v>
      </c>
      <c r="E10" s="29" t="n">
        <f aca="false">C10*D10</f>
        <v>16</v>
      </c>
      <c r="F10" s="67" t="str">
        <f aca="false">IF(E10&gt;=15,"High",IF(E10&gt;=8,"Medium","Low"))</f>
        <v>High</v>
      </c>
      <c r="G10" s="27" t="s">
        <v>1160</v>
      </c>
      <c r="H10" s="27" t="s">
        <v>1161</v>
      </c>
    </row>
    <row r="11" customFormat="false" ht="30" hidden="false" customHeight="true" outlineLevel="0" collapsed="false">
      <c r="A11" s="24" t="s">
        <v>1162</v>
      </c>
      <c r="B11" s="22" t="s">
        <v>1163</v>
      </c>
      <c r="C11" s="39" t="n">
        <v>3</v>
      </c>
      <c r="D11" s="39" t="n">
        <v>4</v>
      </c>
      <c r="E11" s="24" t="n">
        <f aca="false">C11*D11</f>
        <v>12</v>
      </c>
      <c r="F11" s="66" t="str">
        <f aca="false">IF(E11&gt;=15,"High",IF(E11&gt;=8,"Medium","Low"))</f>
        <v>Medium</v>
      </c>
      <c r="G11" s="22" t="s">
        <v>1164</v>
      </c>
      <c r="H11" s="22" t="s">
        <v>1165</v>
      </c>
    </row>
    <row r="12" customFormat="false" ht="30" hidden="false" customHeight="true" outlineLevel="0" collapsed="false">
      <c r="A12" s="29" t="s">
        <v>1166</v>
      </c>
      <c r="B12" s="27" t="s">
        <v>1167</v>
      </c>
      <c r="C12" s="43" t="n">
        <v>3</v>
      </c>
      <c r="D12" s="43" t="n">
        <v>4</v>
      </c>
      <c r="E12" s="29" t="n">
        <f aca="false">C12*D12</f>
        <v>12</v>
      </c>
      <c r="F12" s="67" t="str">
        <f aca="false">IF(E12&gt;=15,"High",IF(E12&gt;=8,"Medium","Low"))</f>
        <v>Medium</v>
      </c>
      <c r="G12" s="27" t="s">
        <v>1168</v>
      </c>
      <c r="H12" s="27" t="s">
        <v>1169</v>
      </c>
    </row>
    <row r="13" customFormat="false" ht="30" hidden="false" customHeight="true" outlineLevel="0" collapsed="false">
      <c r="A13" s="24" t="s">
        <v>1170</v>
      </c>
      <c r="B13" s="22" t="s">
        <v>1171</v>
      </c>
      <c r="C13" s="39" t="n">
        <v>3</v>
      </c>
      <c r="D13" s="39" t="n">
        <v>3</v>
      </c>
      <c r="E13" s="24" t="n">
        <f aca="false">C13*D13</f>
        <v>9</v>
      </c>
      <c r="F13" s="66" t="str">
        <f aca="false">IF(E13&gt;=15,"High",IF(E13&gt;=8,"Medium","Low"))</f>
        <v>Medium</v>
      </c>
      <c r="G13" s="22" t="s">
        <v>1172</v>
      </c>
      <c r="H13" s="22" t="s">
        <v>1173</v>
      </c>
    </row>
    <row r="14" customFormat="false" ht="30" hidden="false" customHeight="true" outlineLevel="0" collapsed="false">
      <c r="A14" s="29" t="s">
        <v>1174</v>
      </c>
      <c r="B14" s="27" t="s">
        <v>1175</v>
      </c>
      <c r="C14" s="43" t="n">
        <v>3</v>
      </c>
      <c r="D14" s="43" t="n">
        <v>3</v>
      </c>
      <c r="E14" s="29" t="n">
        <f aca="false">C14*D14</f>
        <v>9</v>
      </c>
      <c r="F14" s="67" t="str">
        <f aca="false">IF(E14&gt;=15,"High",IF(E14&gt;=8,"Medium","Low"))</f>
        <v>Medium</v>
      </c>
      <c r="G14" s="27" t="s">
        <v>1176</v>
      </c>
      <c r="H14" s="27" t="s">
        <v>1177</v>
      </c>
    </row>
    <row r="15" customFormat="false" ht="30" hidden="false" customHeight="true" outlineLevel="0" collapsed="false">
      <c r="A15" s="24" t="s">
        <v>1178</v>
      </c>
      <c r="B15" s="22" t="s">
        <v>1179</v>
      </c>
      <c r="C15" s="39" t="n">
        <v>2</v>
      </c>
      <c r="D15" s="39" t="n">
        <v>3</v>
      </c>
      <c r="E15" s="24" t="n">
        <f aca="false">C15*D15</f>
        <v>6</v>
      </c>
      <c r="F15" s="66" t="str">
        <f aca="false">IF(E15&gt;=15,"High",IF(E15&gt;=8,"Medium","Low"))</f>
        <v>Low</v>
      </c>
      <c r="G15" s="22" t="s">
        <v>1180</v>
      </c>
      <c r="H15" s="22" t="s">
        <v>1181</v>
      </c>
    </row>
    <row r="16" customFormat="false" ht="30" hidden="false" customHeight="true" outlineLevel="0" collapsed="false">
      <c r="A16" s="29" t="s">
        <v>1182</v>
      </c>
      <c r="B16" s="27" t="s">
        <v>1183</v>
      </c>
      <c r="C16" s="43" t="n">
        <v>2</v>
      </c>
      <c r="D16" s="43" t="n">
        <v>5</v>
      </c>
      <c r="E16" s="29" t="n">
        <f aca="false">C16*D16</f>
        <v>10</v>
      </c>
      <c r="F16" s="67" t="str">
        <f aca="false">IF(E16&gt;=15,"High",IF(E16&gt;=8,"Medium","Low"))</f>
        <v>Medium</v>
      </c>
      <c r="G16" s="27" t="s">
        <v>1184</v>
      </c>
      <c r="H16" s="27" t="s">
        <v>1185</v>
      </c>
    </row>
  </sheetData>
  <autoFilter ref="A4:H16"/>
  <mergeCells count="2">
    <mergeCell ref="A1:H1"/>
    <mergeCell ref="A2:H2"/>
  </mergeCells>
  <conditionalFormatting sqref="F5:F16">
    <cfRule type="cellIs" priority="2" operator="equal" aboveAverage="0" equalAverage="0" bottom="0" percent="0" rank="0" text="" dxfId="2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0">
      <formula>"Low"</formula>
    </cfRule>
  </conditionalFormatting>
  <dataValidations count="1">
    <dataValidation allowBlank="false" errorStyle="stop" operator="between" showDropDown="false" showErrorMessage="false" showInputMessage="false" sqref="C5:D1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6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1186</v>
      </c>
      <c r="B1" s="1"/>
      <c r="C1" s="1"/>
    </row>
    <row r="2" customFormat="false" ht="15" hidden="false" customHeight="false" outlineLevel="0" collapsed="false">
      <c r="A2" s="2" t="s">
        <v>1187</v>
      </c>
      <c r="B2" s="2"/>
      <c r="C2" s="2"/>
    </row>
    <row r="4" customFormat="false" ht="30" hidden="false" customHeight="true" outlineLevel="0" collapsed="false">
      <c r="A4" s="20" t="s">
        <v>1188</v>
      </c>
      <c r="B4" s="20" t="s">
        <v>1189</v>
      </c>
      <c r="C4" s="20" t="s">
        <v>1190</v>
      </c>
    </row>
    <row r="5" customFormat="false" ht="30" hidden="false" customHeight="true" outlineLevel="0" collapsed="false">
      <c r="A5" s="22" t="s">
        <v>1191</v>
      </c>
      <c r="B5" s="22" t="s">
        <v>1192</v>
      </c>
      <c r="C5" s="22" t="s">
        <v>1193</v>
      </c>
    </row>
    <row r="6" customFormat="false" ht="30" hidden="false" customHeight="true" outlineLevel="0" collapsed="false">
      <c r="A6" s="27" t="s">
        <v>1194</v>
      </c>
      <c r="B6" s="27" t="s">
        <v>1195</v>
      </c>
      <c r="C6" s="27" t="s">
        <v>1196</v>
      </c>
    </row>
    <row r="7" customFormat="false" ht="30" hidden="false" customHeight="true" outlineLevel="0" collapsed="false">
      <c r="A7" s="22" t="s">
        <v>1197</v>
      </c>
      <c r="B7" s="22" t="s">
        <v>1198</v>
      </c>
      <c r="C7" s="22" t="s">
        <v>1199</v>
      </c>
    </row>
    <row r="8" customFormat="false" ht="30" hidden="false" customHeight="true" outlineLevel="0" collapsed="false">
      <c r="A8" s="27" t="s">
        <v>1200</v>
      </c>
      <c r="B8" s="27" t="s">
        <v>1201</v>
      </c>
      <c r="C8" s="27" t="s">
        <v>1202</v>
      </c>
    </row>
    <row r="9" customFormat="false" ht="30" hidden="false" customHeight="true" outlineLevel="0" collapsed="false">
      <c r="A9" s="22" t="s">
        <v>1203</v>
      </c>
      <c r="B9" s="22" t="s">
        <v>1204</v>
      </c>
      <c r="C9" s="22" t="s">
        <v>1205</v>
      </c>
    </row>
    <row r="10" customFormat="false" ht="30" hidden="false" customHeight="true" outlineLevel="0" collapsed="false">
      <c r="A10" s="27" t="s">
        <v>1206</v>
      </c>
      <c r="B10" s="27" t="s">
        <v>1207</v>
      </c>
      <c r="C10" s="27" t="s">
        <v>1208</v>
      </c>
    </row>
    <row r="11" customFormat="false" ht="30" hidden="false" customHeight="true" outlineLevel="0" collapsed="false">
      <c r="A11" s="22" t="s">
        <v>1209</v>
      </c>
      <c r="B11" s="22" t="s">
        <v>1210</v>
      </c>
      <c r="C11" s="22" t="s">
        <v>1211</v>
      </c>
    </row>
    <row r="12" customFormat="false" ht="30" hidden="false" customHeight="true" outlineLevel="0" collapsed="false">
      <c r="A12" s="27" t="s">
        <v>1212</v>
      </c>
      <c r="B12" s="27" t="s">
        <v>1213</v>
      </c>
      <c r="C12" s="27" t="s">
        <v>1214</v>
      </c>
    </row>
    <row r="13" customFormat="false" ht="30" hidden="false" customHeight="true" outlineLevel="0" collapsed="false">
      <c r="A13" s="22" t="s">
        <v>1215</v>
      </c>
      <c r="B13" s="22" t="s">
        <v>1216</v>
      </c>
      <c r="C13" s="22" t="s">
        <v>1217</v>
      </c>
    </row>
    <row r="14" customFormat="false" ht="30" hidden="false" customHeight="true" outlineLevel="0" collapsed="false">
      <c r="A14" s="27" t="s">
        <v>1218</v>
      </c>
      <c r="B14" s="27" t="s">
        <v>1219</v>
      </c>
      <c r="C14" s="27" t="s">
        <v>1220</v>
      </c>
    </row>
    <row r="15" customFormat="false" ht="30" hidden="false" customHeight="true" outlineLevel="0" collapsed="false">
      <c r="A15" s="22" t="s">
        <v>1221</v>
      </c>
      <c r="B15" s="22" t="s">
        <v>1222</v>
      </c>
      <c r="C15" s="22" t="s">
        <v>1223</v>
      </c>
    </row>
    <row r="16" customFormat="false" ht="30" hidden="false" customHeight="true" outlineLevel="0" collapsed="false">
      <c r="A16" s="27" t="s">
        <v>1224</v>
      </c>
      <c r="B16" s="27" t="s">
        <v>1225</v>
      </c>
      <c r="C16" s="27" t="s">
        <v>1226</v>
      </c>
    </row>
    <row r="17" customFormat="false" ht="30" hidden="false" customHeight="true" outlineLevel="0" collapsed="false">
      <c r="A17" s="22" t="s">
        <v>1227</v>
      </c>
      <c r="B17" s="22" t="s">
        <v>1228</v>
      </c>
      <c r="C17" s="22" t="s">
        <v>1229</v>
      </c>
    </row>
    <row r="18" customFormat="false" ht="18" hidden="false" customHeight="true" outlineLevel="0" collapsed="false">
      <c r="A18" s="27" t="s">
        <v>1230</v>
      </c>
      <c r="B18" s="27" t="s">
        <v>1231</v>
      </c>
      <c r="C18" s="27" t="s">
        <v>1232</v>
      </c>
    </row>
    <row r="19" customFormat="false" ht="18" hidden="false" customHeight="true" outlineLevel="0" collapsed="false">
      <c r="A19" s="22" t="s">
        <v>1233</v>
      </c>
      <c r="B19" s="22" t="s">
        <v>1234</v>
      </c>
      <c r="C19" s="22" t="s">
        <v>1235</v>
      </c>
    </row>
  </sheetData>
  <autoFilter ref="A4:C19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2026-10-13T21:21:05Z</dcterms:created>
  <dc:creator>openpyxl</dc:creator>
  <dc:description/>
  <dc:language>en-US</dc:language>
  <cp:lastModifiedBy/>
  <dcterms:modified xsi:type="dcterms:W3CDTF">2026-10-13T21:21:05Z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